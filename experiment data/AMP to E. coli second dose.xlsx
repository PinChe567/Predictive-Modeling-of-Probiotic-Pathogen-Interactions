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大學的東西\iGEM\9th\數據\experiment data\"/>
    </mc:Choice>
  </mc:AlternateContent>
  <xr:revisionPtr revIDLastSave="0" documentId="13_ncr:1_{263D95DC-23F0-4B2A-B494-9EBBF7C73D5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3" i="1"/>
  <c r="H4" i="1"/>
  <c r="H8" i="1"/>
  <c r="H7" i="1"/>
  <c r="H26" i="1"/>
  <c r="H25" i="1"/>
  <c r="H22" i="1"/>
  <c r="H17" i="1"/>
</calcChain>
</file>

<file path=xl/sharedStrings.xml><?xml version="1.0" encoding="utf-8"?>
<sst xmlns="http://schemas.openxmlformats.org/spreadsheetml/2006/main" count="335" uniqueCount="22">
  <si>
    <t>AMP to E. coli second dose</t>
    <phoneticPr fontId="1" type="noConversion"/>
  </si>
  <si>
    <t>AMP 0 ug/ml</t>
    <phoneticPr fontId="1" type="noConversion"/>
  </si>
  <si>
    <t>mean bacteria concentration</t>
    <phoneticPr fontId="1" type="noConversion"/>
  </si>
  <si>
    <t>SD</t>
  </si>
  <si>
    <t>time (hr)</t>
    <phoneticPr fontId="1" type="noConversion"/>
  </si>
  <si>
    <t>portion</t>
    <phoneticPr fontId="1" type="noConversion"/>
  </si>
  <si>
    <t>CFU</t>
    <phoneticPr fontId="1" type="noConversion"/>
  </si>
  <si>
    <t>bacteria concentration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</si>
  <si>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</si>
  <si>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</si>
  <si>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</si>
  <si>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</si>
  <si>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N/A</t>
  </si>
  <si>
    <t>e</t>
    <phoneticPr fontId="1" type="noConversion"/>
  </si>
  <si>
    <t>dilution ratio (10^n)</t>
    <phoneticPr fontId="1" type="noConversion"/>
  </si>
  <si>
    <t>loading volume (λ)</t>
    <phoneticPr fontId="1" type="noConversion"/>
  </si>
  <si>
    <t>AMP 25 ug/ml</t>
    <phoneticPr fontId="1" type="noConversion"/>
  </si>
  <si>
    <t>SD</t>
    <phoneticPr fontId="1" type="noConversion"/>
  </si>
  <si>
    <t>mean bacteria conc. (mL)</t>
    <phoneticPr fontId="1" type="noConversion"/>
  </si>
  <si>
    <t>AMP 50 ug/ml</t>
    <phoneticPr fontId="1" type="noConversion"/>
  </si>
  <si>
    <t>+</t>
  </si>
  <si>
    <t>AMP concentration (ug/ml)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</si>
</sst>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8" xfId="0" applyFont="1" applyBorder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66"/>
  <sheetViews>
    <sheetView tabSelected="1" zoomScale="40" zoomScaleNormal="40" workbookViewId="0">
      <selection activeCell="K31" sqref="K31"/>
    </sheetView>
  </sheetViews>
  <sheetFormatPr defaultRowHeight="13.9" x14ac:dyDescent="0.4"/>
  <cols>
    <col min="1" max="1" width="9.140625" style="1"/>
    <col min="2" max="2" width="25.140625" style="1" bestFit="1" customWidth="1"/>
    <col min="3" max="3" width="9.140625" style="1"/>
    <col min="4" max="4" width="13.35546875" style="1" bestFit="1" customWidth="1"/>
    <col min="5" max="5" width="24.42578125" style="1" bestFit="1" customWidth="1"/>
    <col min="6" max="7" width="13.0703125" style="1" bestFit="1" customWidth="1"/>
    <col min="8" max="8" width="9.2109375" style="1" bestFit="1" customWidth="1"/>
    <col min="9" max="11" width="9.140625" style="1"/>
    <col min="12" max="12" width="22.5" style="1" bestFit="1" customWidth="1"/>
    <col min="13" max="13" width="12.92578125" style="1" bestFit="1" customWidth="1"/>
    <col min="14" max="14" width="24.5" style="1" bestFit="1" customWidth="1"/>
    <col min="15" max="15" width="5.7109375" style="1" bestFit="1" customWidth="1"/>
    <col min="16" max="16" width="19.42578125" style="1" bestFit="1" customWidth="1"/>
    <col min="17" max="17" width="9.140625" style="1"/>
    <col min="18" max="18" width="22.5" style="1" bestFit="1" customWidth="1"/>
    <col min="19" max="19" width="12.92578125" style="1" bestFit="1" customWidth="1"/>
    <col min="20" max="20" width="24.5" style="1" bestFit="1" customWidth="1"/>
    <col min="21" max="21" width="12.35546875" style="1" bestFit="1" customWidth="1"/>
    <col min="22" max="22" width="19.42578125" style="1" bestFit="1" customWidth="1"/>
    <col min="23" max="23" width="9.140625" style="1"/>
    <col min="24" max="24" width="22.5" style="1" bestFit="1" customWidth="1"/>
    <col min="25" max="25" width="12.92578125" style="1" bestFit="1" customWidth="1"/>
    <col min="26" max="26" width="24.5" style="1" bestFit="1" customWidth="1"/>
    <col min="27" max="27" width="12.35546875" style="1" bestFit="1" customWidth="1"/>
    <col min="28" max="28" width="19.42578125" style="1" bestFit="1" customWidth="1"/>
    <col min="29" max="29" width="9.140625" style="1"/>
    <col min="30" max="30" width="22.5" style="1" bestFit="1" customWidth="1"/>
    <col min="31" max="31" width="12.28515625" style="1" bestFit="1" customWidth="1"/>
    <col min="32" max="32" width="24.42578125" style="1" bestFit="1" customWidth="1"/>
    <col min="33" max="33" width="5.140625" style="1" bestFit="1" customWidth="1"/>
    <col min="34" max="34" width="19.35546875" style="1" bestFit="1" customWidth="1"/>
    <col min="35" max="35" width="9.140625" style="1"/>
    <col min="36" max="36" width="22.5" style="1" bestFit="1" customWidth="1"/>
    <col min="37" max="37" width="12.28515625" style="1" bestFit="1" customWidth="1"/>
    <col min="38" max="38" width="24.42578125" style="1" bestFit="1" customWidth="1"/>
    <col min="39" max="39" width="12.28515625" style="1" bestFit="1" customWidth="1"/>
    <col min="40" max="40" width="19.35546875" style="1" bestFit="1" customWidth="1"/>
    <col min="41" max="41" width="9.140625" style="1"/>
    <col min="42" max="42" width="22.5" style="1" bestFit="1" customWidth="1"/>
    <col min="43" max="43" width="12.28515625" style="1" bestFit="1" customWidth="1"/>
    <col min="44" max="44" width="24.42578125" style="1" bestFit="1" customWidth="1"/>
    <col min="45" max="45" width="12.28515625" style="1" bestFit="1" customWidth="1"/>
    <col min="46" max="46" width="19.35546875" style="1" bestFit="1" customWidth="1"/>
    <col min="47" max="16384" width="9.140625" style="1"/>
  </cols>
  <sheetData>
    <row r="1" spans="2:28" ht="14.25" thickBot="1" x14ac:dyDescent="0.45"/>
    <row r="2" spans="2:28" x14ac:dyDescent="0.4">
      <c r="B2" s="1" t="s">
        <v>0</v>
      </c>
      <c r="D2" s="3" t="s">
        <v>1</v>
      </c>
      <c r="E2" s="4" t="s">
        <v>2</v>
      </c>
      <c r="F2" s="4" t="s">
        <v>3</v>
      </c>
      <c r="G2" s="4" t="s">
        <v>4</v>
      </c>
      <c r="H2" s="11" t="s">
        <v>5</v>
      </c>
      <c r="L2" s="3"/>
      <c r="M2" s="4" t="s">
        <v>6</v>
      </c>
      <c r="N2" s="4" t="s">
        <v>7</v>
      </c>
      <c r="O2" s="4" t="s">
        <v>6</v>
      </c>
      <c r="P2" s="5" t="s">
        <v>7</v>
      </c>
      <c r="R2" s="3"/>
      <c r="S2" s="4" t="s">
        <v>6</v>
      </c>
      <c r="T2" s="4" t="s">
        <v>7</v>
      </c>
      <c r="U2" s="4" t="s">
        <v>6</v>
      </c>
      <c r="V2" s="5" t="s">
        <v>7</v>
      </c>
      <c r="X2" s="3"/>
      <c r="Y2" s="4" t="s">
        <v>6</v>
      </c>
      <c r="Z2" s="4" t="s">
        <v>7</v>
      </c>
      <c r="AA2" s="4" t="s">
        <v>6</v>
      </c>
      <c r="AB2" s="5" t="s">
        <v>7</v>
      </c>
    </row>
    <row r="3" spans="2:28" x14ac:dyDescent="0.4">
      <c r="D3" s="6">
        <v>1</v>
      </c>
      <c r="E3" s="2">
        <v>1814000</v>
      </c>
      <c r="F3" s="2">
        <v>500975.04927890375</v>
      </c>
      <c r="G3" s="2">
        <v>0</v>
      </c>
      <c r="H3" s="12"/>
      <c r="L3" s="6" t="s">
        <v>8</v>
      </c>
      <c r="M3" s="2">
        <v>122</v>
      </c>
      <c r="N3" s="2">
        <v>2440000</v>
      </c>
      <c r="O3" s="2">
        <v>3</v>
      </c>
      <c r="P3" s="7">
        <v>600000</v>
      </c>
      <c r="R3" s="6" t="s">
        <v>8</v>
      </c>
      <c r="S3" s="2">
        <v>83</v>
      </c>
      <c r="T3" s="2">
        <v>1660000</v>
      </c>
      <c r="U3" s="2">
        <v>7</v>
      </c>
      <c r="V3" s="7">
        <v>1400000</v>
      </c>
      <c r="X3" s="6" t="s">
        <v>8</v>
      </c>
      <c r="Y3" s="2">
        <v>68</v>
      </c>
      <c r="Z3" s="2">
        <v>1360000</v>
      </c>
      <c r="AA3" s="2">
        <v>5</v>
      </c>
      <c r="AB3" s="7">
        <v>1000000</v>
      </c>
    </row>
    <row r="4" spans="2:28" x14ac:dyDescent="0.4">
      <c r="D4" s="6">
        <v>2</v>
      </c>
      <c r="E4" s="2">
        <v>4576000</v>
      </c>
      <c r="F4" s="2">
        <v>1490857.4713902064</v>
      </c>
      <c r="G4" s="2">
        <v>0.5</v>
      </c>
      <c r="H4" s="12">
        <f>E4/E3</f>
        <v>2.5226019845644982</v>
      </c>
      <c r="L4" s="6" t="s">
        <v>9</v>
      </c>
      <c r="M4" s="2">
        <v>119</v>
      </c>
      <c r="N4" s="2">
        <v>2380000</v>
      </c>
      <c r="O4" s="2">
        <v>10</v>
      </c>
      <c r="P4" s="7">
        <v>2000000</v>
      </c>
      <c r="R4" s="6" t="s">
        <v>9</v>
      </c>
      <c r="S4" s="2">
        <v>76</v>
      </c>
      <c r="T4" s="2">
        <v>1520000</v>
      </c>
      <c r="U4" s="2">
        <v>9</v>
      </c>
      <c r="V4" s="7">
        <v>1800000</v>
      </c>
      <c r="X4" s="6" t="s">
        <v>9</v>
      </c>
      <c r="Y4" s="2">
        <v>66</v>
      </c>
      <c r="Z4" s="2">
        <v>1320000</v>
      </c>
      <c r="AA4" s="2">
        <v>4</v>
      </c>
      <c r="AB4" s="7">
        <v>800000</v>
      </c>
    </row>
    <row r="5" spans="2:28" x14ac:dyDescent="0.4">
      <c r="D5" s="6">
        <v>3</v>
      </c>
      <c r="E5" s="2">
        <v>333500000</v>
      </c>
      <c r="F5" s="2">
        <v>16360521.589077368</v>
      </c>
      <c r="G5" s="2">
        <v>4</v>
      </c>
      <c r="H5" s="12"/>
      <c r="L5" s="6" t="s">
        <v>10</v>
      </c>
      <c r="M5" s="2">
        <v>122</v>
      </c>
      <c r="N5" s="2">
        <v>2440000</v>
      </c>
      <c r="O5" s="2">
        <v>4</v>
      </c>
      <c r="P5" s="7">
        <v>800000</v>
      </c>
      <c r="R5" s="6" t="s">
        <v>10</v>
      </c>
      <c r="S5" s="2">
        <v>94</v>
      </c>
      <c r="T5" s="2">
        <v>1880000</v>
      </c>
      <c r="U5" s="2">
        <v>2</v>
      </c>
      <c r="V5" s="7">
        <v>400000</v>
      </c>
      <c r="X5" s="6" t="s">
        <v>10</v>
      </c>
      <c r="Y5" s="2">
        <v>83</v>
      </c>
      <c r="Z5" s="2">
        <v>1660000</v>
      </c>
      <c r="AA5" s="2">
        <v>5</v>
      </c>
      <c r="AB5" s="7">
        <v>1000000</v>
      </c>
    </row>
    <row r="6" spans="2:28" x14ac:dyDescent="0.4">
      <c r="D6" s="6">
        <v>4</v>
      </c>
      <c r="E6" s="2">
        <v>3935000000</v>
      </c>
      <c r="F6" s="2">
        <v>413642357.59892863</v>
      </c>
      <c r="G6" s="2">
        <v>37.5</v>
      </c>
      <c r="H6" s="12"/>
      <c r="L6" s="6" t="s">
        <v>11</v>
      </c>
      <c r="M6" s="2">
        <v>129</v>
      </c>
      <c r="N6" s="2">
        <v>2580000</v>
      </c>
      <c r="O6" s="2">
        <v>7</v>
      </c>
      <c r="P6" s="7">
        <v>1400000</v>
      </c>
      <c r="R6" s="6" t="s">
        <v>11</v>
      </c>
      <c r="S6" s="2">
        <v>89</v>
      </c>
      <c r="T6" s="2">
        <v>1780000</v>
      </c>
      <c r="U6" s="2"/>
      <c r="V6" s="7" t="s">
        <v>12</v>
      </c>
      <c r="X6" s="6" t="s">
        <v>11</v>
      </c>
      <c r="Y6" s="2">
        <v>79</v>
      </c>
      <c r="Z6" s="2">
        <v>1580000</v>
      </c>
      <c r="AA6" s="2">
        <v>5</v>
      </c>
      <c r="AB6" s="7">
        <v>1000000</v>
      </c>
    </row>
    <row r="7" spans="2:28" x14ac:dyDescent="0.4">
      <c r="D7" s="6">
        <v>5</v>
      </c>
      <c r="E7" s="2">
        <v>3953333333.3333335</v>
      </c>
      <c r="F7" s="2">
        <v>383086877.29489714</v>
      </c>
      <c r="G7" s="2">
        <v>38</v>
      </c>
      <c r="H7" s="12">
        <f>E7/E6</f>
        <v>1.0046590427784838</v>
      </c>
      <c r="L7" s="6" t="s">
        <v>13</v>
      </c>
      <c r="M7" s="2">
        <v>125</v>
      </c>
      <c r="N7" s="2">
        <v>2500000</v>
      </c>
      <c r="O7" s="2">
        <v>5</v>
      </c>
      <c r="P7" s="7">
        <v>1000000</v>
      </c>
      <c r="R7" s="6" t="s">
        <v>13</v>
      </c>
      <c r="S7" s="2"/>
      <c r="T7" s="2" t="s">
        <v>12</v>
      </c>
      <c r="U7" s="2"/>
      <c r="V7" s="7" t="s">
        <v>12</v>
      </c>
      <c r="X7" s="6" t="s">
        <v>13</v>
      </c>
      <c r="Y7" s="2"/>
      <c r="Z7" s="2" t="s">
        <v>12</v>
      </c>
      <c r="AA7" s="2">
        <v>6</v>
      </c>
      <c r="AB7" s="7">
        <v>1200000</v>
      </c>
    </row>
    <row r="8" spans="2:28" x14ac:dyDescent="0.4">
      <c r="D8" s="6">
        <v>6</v>
      </c>
      <c r="E8" s="2">
        <v>3713333333.333333</v>
      </c>
      <c r="F8" s="2">
        <v>653775360.67232001</v>
      </c>
      <c r="G8" s="2">
        <v>38</v>
      </c>
      <c r="H8" s="12">
        <f>E8/E6</f>
        <v>0.94366793731469711</v>
      </c>
      <c r="L8" s="6" t="s">
        <v>14</v>
      </c>
      <c r="M8" s="2">
        <v>3</v>
      </c>
      <c r="N8" s="2"/>
      <c r="O8" s="2">
        <v>4</v>
      </c>
      <c r="P8" s="7"/>
      <c r="R8" s="6" t="s">
        <v>14</v>
      </c>
      <c r="S8" s="2">
        <v>3</v>
      </c>
      <c r="T8" s="2"/>
      <c r="U8" s="2">
        <v>4</v>
      </c>
      <c r="V8" s="7"/>
      <c r="X8" s="6" t="s">
        <v>14</v>
      </c>
      <c r="Y8" s="2">
        <v>3</v>
      </c>
      <c r="Z8" s="2"/>
      <c r="AA8" s="2">
        <v>4</v>
      </c>
      <c r="AB8" s="7"/>
    </row>
    <row r="9" spans="2:28" x14ac:dyDescent="0.4">
      <c r="D9" s="6"/>
      <c r="E9" s="2"/>
      <c r="F9" s="2"/>
      <c r="G9" s="2"/>
      <c r="H9" s="12"/>
      <c r="L9" s="6" t="s">
        <v>15</v>
      </c>
      <c r="M9" s="2">
        <v>5</v>
      </c>
      <c r="N9" s="2"/>
      <c r="O9" s="2">
        <v>5</v>
      </c>
      <c r="P9" s="7"/>
      <c r="R9" s="6" t="s">
        <v>15</v>
      </c>
      <c r="S9" s="2">
        <v>5</v>
      </c>
      <c r="T9" s="2"/>
      <c r="U9" s="2">
        <v>5</v>
      </c>
      <c r="V9" s="7"/>
      <c r="X9" s="6" t="s">
        <v>15</v>
      </c>
      <c r="Y9" s="2">
        <v>5</v>
      </c>
      <c r="Z9" s="2"/>
      <c r="AA9" s="2">
        <v>5</v>
      </c>
      <c r="AB9" s="7"/>
    </row>
    <row r="10" spans="2:28" x14ac:dyDescent="0.4">
      <c r="D10" s="6" t="s">
        <v>16</v>
      </c>
      <c r="E10" s="2" t="s">
        <v>2</v>
      </c>
      <c r="F10" s="2" t="s">
        <v>3</v>
      </c>
      <c r="G10" s="2" t="s">
        <v>4</v>
      </c>
      <c r="H10" s="12" t="s">
        <v>5</v>
      </c>
      <c r="L10" s="6" t="s">
        <v>17</v>
      </c>
      <c r="M10" s="2">
        <v>500975.04927890375</v>
      </c>
      <c r="N10" s="2" t="s">
        <v>4</v>
      </c>
      <c r="O10" s="2">
        <v>0</v>
      </c>
      <c r="P10" s="7"/>
      <c r="R10" s="6" t="s">
        <v>17</v>
      </c>
      <c r="S10" s="2">
        <v>603959.15976717055</v>
      </c>
      <c r="T10" s="2" t="s">
        <v>4</v>
      </c>
      <c r="U10" s="2">
        <v>1.6666666666666666E-2</v>
      </c>
      <c r="V10" s="7"/>
      <c r="X10" s="6" t="s">
        <v>17</v>
      </c>
      <c r="Y10" s="2">
        <v>191311.26469708988</v>
      </c>
      <c r="Z10" s="2" t="s">
        <v>4</v>
      </c>
      <c r="AA10" s="2">
        <v>1.6666666666666666E-2</v>
      </c>
      <c r="AB10" s="7"/>
    </row>
    <row r="11" spans="2:28" ht="14.25" thickBot="1" x14ac:dyDescent="0.45">
      <c r="D11" s="6">
        <v>0</v>
      </c>
      <c r="E11" s="2">
        <v>1814000</v>
      </c>
      <c r="F11" s="2">
        <v>500975.04927890375</v>
      </c>
      <c r="G11" s="2">
        <v>0</v>
      </c>
      <c r="H11" s="12"/>
      <c r="L11" s="8" t="s">
        <v>18</v>
      </c>
      <c r="M11" s="9">
        <v>1814000</v>
      </c>
      <c r="N11" s="9" t="s">
        <v>21</v>
      </c>
      <c r="O11" s="9">
        <v>0</v>
      </c>
      <c r="P11" s="10"/>
      <c r="R11" s="8" t="s">
        <v>18</v>
      </c>
      <c r="S11" s="9">
        <v>1455000</v>
      </c>
      <c r="T11" s="9" t="s">
        <v>21</v>
      </c>
      <c r="U11" s="9">
        <v>25</v>
      </c>
      <c r="V11" s="10"/>
      <c r="X11" s="8" t="s">
        <v>18</v>
      </c>
      <c r="Y11" s="9">
        <v>1240000</v>
      </c>
      <c r="Z11" s="9" t="s">
        <v>21</v>
      </c>
      <c r="AA11" s="9">
        <v>50</v>
      </c>
      <c r="AB11" s="10"/>
    </row>
    <row r="12" spans="2:28" ht="14.25" thickBot="1" x14ac:dyDescent="0.45">
      <c r="D12" s="6">
        <v>1</v>
      </c>
      <c r="E12" s="2">
        <v>1455000</v>
      </c>
      <c r="F12" s="2">
        <v>603959.15976717055</v>
      </c>
      <c r="G12" s="2">
        <v>1.6666666666666666E-2</v>
      </c>
      <c r="H12" s="12"/>
    </row>
    <row r="13" spans="2:28" x14ac:dyDescent="0.4">
      <c r="D13" s="6">
        <v>2</v>
      </c>
      <c r="E13" s="2">
        <v>2133333.333333333</v>
      </c>
      <c r="F13" s="2">
        <v>534249.21359064465</v>
      </c>
      <c r="G13" s="2">
        <v>0.5</v>
      </c>
      <c r="H13" s="12">
        <f>E13/E11</f>
        <v>1.1760382212421903</v>
      </c>
      <c r="L13" s="3"/>
      <c r="M13" s="4" t="s">
        <v>6</v>
      </c>
      <c r="N13" s="4" t="s">
        <v>7</v>
      </c>
      <c r="O13" s="4" t="s">
        <v>6</v>
      </c>
      <c r="P13" s="5" t="s">
        <v>7</v>
      </c>
      <c r="R13" s="3"/>
      <c r="S13" s="4" t="s">
        <v>6</v>
      </c>
      <c r="T13" s="4" t="s">
        <v>7</v>
      </c>
      <c r="U13" s="4" t="s">
        <v>6</v>
      </c>
      <c r="V13" s="5" t="s">
        <v>7</v>
      </c>
      <c r="X13" s="3"/>
      <c r="Y13" s="4" t="s">
        <v>6</v>
      </c>
      <c r="Z13" s="4" t="s">
        <v>7</v>
      </c>
      <c r="AA13" s="4" t="s">
        <v>6</v>
      </c>
      <c r="AB13" s="5" t="s">
        <v>7</v>
      </c>
    </row>
    <row r="14" spans="2:28" x14ac:dyDescent="0.4">
      <c r="D14" s="6">
        <v>3</v>
      </c>
      <c r="E14" s="2">
        <v>322000000</v>
      </c>
      <c r="F14" s="2">
        <v>26474306.202219706</v>
      </c>
      <c r="G14" s="2">
        <v>4</v>
      </c>
      <c r="H14" s="12"/>
      <c r="L14" s="6" t="s">
        <v>8</v>
      </c>
      <c r="M14" s="2">
        <v>205</v>
      </c>
      <c r="N14" s="2">
        <v>4100000</v>
      </c>
      <c r="O14" s="2">
        <v>26</v>
      </c>
      <c r="P14" s="7">
        <v>5200000</v>
      </c>
      <c r="R14" s="6" t="s">
        <v>8</v>
      </c>
      <c r="S14" s="2">
        <v>109</v>
      </c>
      <c r="T14" s="2">
        <v>2180000</v>
      </c>
      <c r="U14" s="2">
        <v>6</v>
      </c>
      <c r="V14" s="7">
        <v>1200000</v>
      </c>
      <c r="X14" s="6" t="s">
        <v>8</v>
      </c>
      <c r="Y14" s="2">
        <v>74</v>
      </c>
      <c r="Z14" s="2">
        <v>1480000</v>
      </c>
      <c r="AA14" s="2">
        <v>7</v>
      </c>
      <c r="AB14" s="7">
        <v>1400000</v>
      </c>
    </row>
    <row r="15" spans="2:28" x14ac:dyDescent="0.4">
      <c r="D15" s="6">
        <v>4</v>
      </c>
      <c r="E15" s="2">
        <v>3740000000</v>
      </c>
      <c r="F15" s="2">
        <v>485798312.05964476</v>
      </c>
      <c r="G15" s="2">
        <v>37.5</v>
      </c>
      <c r="H15" s="12"/>
      <c r="L15" s="6" t="s">
        <v>9</v>
      </c>
      <c r="M15" s="2">
        <v>198</v>
      </c>
      <c r="N15" s="2">
        <v>3960000</v>
      </c>
      <c r="O15" s="2">
        <v>20</v>
      </c>
      <c r="P15" s="7">
        <v>4000000</v>
      </c>
      <c r="R15" s="6" t="s">
        <v>9</v>
      </c>
      <c r="S15" s="2">
        <v>98</v>
      </c>
      <c r="T15" s="2">
        <v>1960000</v>
      </c>
      <c r="U15" s="2">
        <v>10</v>
      </c>
      <c r="V15" s="7">
        <v>2000000</v>
      </c>
      <c r="X15" s="6" t="s">
        <v>9</v>
      </c>
      <c r="Y15" s="2">
        <v>94</v>
      </c>
      <c r="Z15" s="2">
        <v>1880000</v>
      </c>
      <c r="AA15" s="2">
        <v>8</v>
      </c>
      <c r="AB15" s="7">
        <v>1600000</v>
      </c>
    </row>
    <row r="16" spans="2:28" x14ac:dyDescent="0.4">
      <c r="D16" s="6">
        <v>5</v>
      </c>
      <c r="E16" s="2">
        <v>3546666666.6666665</v>
      </c>
      <c r="F16" s="2">
        <v>690957467.73750281</v>
      </c>
      <c r="G16" s="2">
        <v>38</v>
      </c>
      <c r="H16" s="12">
        <f>E16/E15</f>
        <v>0.94830659536541884</v>
      </c>
      <c r="L16" s="6" t="s">
        <v>10</v>
      </c>
      <c r="M16" s="2">
        <v>195</v>
      </c>
      <c r="N16" s="2">
        <v>3900000</v>
      </c>
      <c r="O16" s="2">
        <v>23</v>
      </c>
      <c r="P16" s="7">
        <v>4600000</v>
      </c>
      <c r="R16" s="6" t="s">
        <v>10</v>
      </c>
      <c r="S16" s="2">
        <v>115</v>
      </c>
      <c r="T16" s="2">
        <v>2300000</v>
      </c>
      <c r="U16" s="2">
        <v>11</v>
      </c>
      <c r="V16" s="7">
        <v>2200000</v>
      </c>
      <c r="X16" s="6" t="s">
        <v>10</v>
      </c>
      <c r="Y16" s="2">
        <v>103</v>
      </c>
      <c r="Z16" s="2">
        <v>2060000</v>
      </c>
      <c r="AA16" s="2">
        <v>7</v>
      </c>
      <c r="AB16" s="7">
        <v>1400000</v>
      </c>
    </row>
    <row r="17" spans="4:28" x14ac:dyDescent="0.4">
      <c r="D17" s="6">
        <v>6</v>
      </c>
      <c r="E17" s="2">
        <v>2868000000</v>
      </c>
      <c r="F17" s="2">
        <v>426970724.99177265</v>
      </c>
      <c r="G17" s="2">
        <v>38</v>
      </c>
      <c r="H17" s="12">
        <f>E17/E15</f>
        <v>0.76684491978609626</v>
      </c>
      <c r="L17" s="6" t="s">
        <v>11</v>
      </c>
      <c r="M17" s="2">
        <v>205</v>
      </c>
      <c r="N17" s="2">
        <v>4100000</v>
      </c>
      <c r="O17" s="2">
        <v>40</v>
      </c>
      <c r="P17" s="7">
        <v>8000000</v>
      </c>
      <c r="R17" s="6" t="s">
        <v>11</v>
      </c>
      <c r="S17" s="2"/>
      <c r="T17" s="2" t="s">
        <v>12</v>
      </c>
      <c r="U17" s="2">
        <v>13</v>
      </c>
      <c r="V17" s="7">
        <v>2600000</v>
      </c>
      <c r="X17" s="6" t="s">
        <v>11</v>
      </c>
      <c r="Y17" s="2">
        <v>83</v>
      </c>
      <c r="Z17" s="2">
        <v>1660000</v>
      </c>
      <c r="AA17" s="2">
        <v>9</v>
      </c>
      <c r="AB17" s="7">
        <v>1800000</v>
      </c>
    </row>
    <row r="18" spans="4:28" x14ac:dyDescent="0.4">
      <c r="D18" s="6"/>
      <c r="E18" s="2"/>
      <c r="F18" s="2"/>
      <c r="G18" s="2"/>
      <c r="H18" s="12"/>
      <c r="L18" s="6" t="s">
        <v>13</v>
      </c>
      <c r="M18" s="2">
        <v>195</v>
      </c>
      <c r="N18" s="2">
        <v>3900000</v>
      </c>
      <c r="O18" s="2">
        <v>20</v>
      </c>
      <c r="P18" s="7">
        <v>4000000</v>
      </c>
      <c r="R18" s="6" t="s">
        <v>13</v>
      </c>
      <c r="S18" s="2"/>
      <c r="T18" s="2" t="s">
        <v>12</v>
      </c>
      <c r="U18" s="2">
        <v>13</v>
      </c>
      <c r="V18" s="7">
        <v>2600000</v>
      </c>
      <c r="X18" s="6" t="s">
        <v>13</v>
      </c>
      <c r="Y18" s="2"/>
      <c r="Z18" s="2" t="s">
        <v>12</v>
      </c>
      <c r="AA18" s="2"/>
      <c r="AB18" s="7" t="s">
        <v>12</v>
      </c>
    </row>
    <row r="19" spans="4:28" x14ac:dyDescent="0.4">
      <c r="D19" s="6" t="s">
        <v>19</v>
      </c>
      <c r="E19" s="2" t="s">
        <v>2</v>
      </c>
      <c r="F19" s="2" t="s">
        <v>3</v>
      </c>
      <c r="G19" s="2" t="s">
        <v>4</v>
      </c>
      <c r="H19" s="12" t="s">
        <v>5</v>
      </c>
      <c r="L19" s="6" t="s">
        <v>14</v>
      </c>
      <c r="M19" s="2">
        <v>3</v>
      </c>
      <c r="N19" s="2"/>
      <c r="O19" s="2">
        <v>4</v>
      </c>
      <c r="P19" s="7"/>
      <c r="R19" s="6" t="s">
        <v>14</v>
      </c>
      <c r="S19" s="2">
        <v>3</v>
      </c>
      <c r="T19" s="2"/>
      <c r="U19" s="2">
        <v>4</v>
      </c>
      <c r="V19" s="7"/>
      <c r="X19" s="6" t="s">
        <v>14</v>
      </c>
      <c r="Y19" s="2">
        <v>3</v>
      </c>
      <c r="Z19" s="2"/>
      <c r="AA19" s="2">
        <v>4</v>
      </c>
      <c r="AB19" s="7"/>
    </row>
    <row r="20" spans="4:28" x14ac:dyDescent="0.4">
      <c r="D20" s="6">
        <v>0</v>
      </c>
      <c r="E20" s="2">
        <v>1814000</v>
      </c>
      <c r="F20" s="2">
        <v>500975.04927890375</v>
      </c>
      <c r="G20" s="2">
        <v>0</v>
      </c>
      <c r="H20" s="12"/>
      <c r="L20" s="6" t="s">
        <v>15</v>
      </c>
      <c r="M20" s="2">
        <v>5</v>
      </c>
      <c r="N20" s="2"/>
      <c r="O20" s="2">
        <v>5</v>
      </c>
      <c r="P20" s="7"/>
      <c r="R20" s="6" t="s">
        <v>15</v>
      </c>
      <c r="S20" s="2">
        <v>5</v>
      </c>
      <c r="T20" s="2"/>
      <c r="U20" s="2">
        <v>5</v>
      </c>
      <c r="V20" s="7"/>
      <c r="X20" s="6" t="s">
        <v>15</v>
      </c>
      <c r="Y20" s="2">
        <v>5</v>
      </c>
      <c r="Z20" s="2"/>
      <c r="AA20" s="2">
        <v>5</v>
      </c>
      <c r="AB20" s="7"/>
    </row>
    <row r="21" spans="4:28" x14ac:dyDescent="0.4">
      <c r="D21" s="6">
        <v>1</v>
      </c>
      <c r="E21" s="2">
        <v>1240000</v>
      </c>
      <c r="F21" s="2">
        <v>191311.26469708988</v>
      </c>
      <c r="G21" s="2">
        <v>1.6666666666666666E-2</v>
      </c>
      <c r="H21" s="12"/>
      <c r="L21" s="6" t="s">
        <v>17</v>
      </c>
      <c r="M21" s="2">
        <v>1490857.4713902064</v>
      </c>
      <c r="N21" s="2" t="s">
        <v>4</v>
      </c>
      <c r="O21" s="2">
        <v>0.5</v>
      </c>
      <c r="P21" s="7"/>
      <c r="R21" s="6" t="s">
        <v>17</v>
      </c>
      <c r="S21" s="2">
        <v>534249.21359064465</v>
      </c>
      <c r="T21" s="2" t="s">
        <v>4</v>
      </c>
      <c r="U21" s="2">
        <v>0.5</v>
      </c>
      <c r="V21" s="7"/>
      <c r="X21" s="6" t="s">
        <v>17</v>
      </c>
      <c r="Y21" s="2">
        <v>274954.54169735039</v>
      </c>
      <c r="Z21" s="2" t="s">
        <v>4</v>
      </c>
      <c r="AA21" s="2">
        <v>0.5</v>
      </c>
      <c r="AB21" s="7"/>
    </row>
    <row r="22" spans="4:28" ht="14.25" thickBot="1" x14ac:dyDescent="0.45">
      <c r="D22" s="6">
        <v>2</v>
      </c>
      <c r="E22" s="2">
        <v>1660000</v>
      </c>
      <c r="F22" s="2">
        <v>274954.54169735039</v>
      </c>
      <c r="G22" s="2">
        <v>0.5</v>
      </c>
      <c r="H22" s="12">
        <f>E22/E20</f>
        <v>0.91510474090407934</v>
      </c>
      <c r="L22" s="8" t="s">
        <v>18</v>
      </c>
      <c r="M22" s="9">
        <v>4576000</v>
      </c>
      <c r="N22" s="9" t="s">
        <v>21</v>
      </c>
      <c r="O22" s="9">
        <v>0</v>
      </c>
      <c r="P22" s="10"/>
      <c r="R22" s="8" t="s">
        <v>18</v>
      </c>
      <c r="S22" s="9">
        <v>2133333.333333333</v>
      </c>
      <c r="T22" s="9" t="s">
        <v>21</v>
      </c>
      <c r="U22" s="9">
        <v>25</v>
      </c>
      <c r="V22" s="10"/>
      <c r="X22" s="8" t="s">
        <v>18</v>
      </c>
      <c r="Y22" s="9">
        <v>1660000</v>
      </c>
      <c r="Z22" s="9" t="s">
        <v>21</v>
      </c>
      <c r="AA22" s="9">
        <v>50</v>
      </c>
      <c r="AB22" s="10"/>
    </row>
    <row r="23" spans="4:28" ht="14.25" thickBot="1" x14ac:dyDescent="0.45">
      <c r="D23" s="6">
        <v>3</v>
      </c>
      <c r="E23" s="2">
        <v>278666666.66666663</v>
      </c>
      <c r="F23" s="2">
        <v>12256517.540566824</v>
      </c>
      <c r="G23" s="2">
        <v>4</v>
      </c>
      <c r="H23" s="12"/>
    </row>
    <row r="24" spans="4:28" x14ac:dyDescent="0.4">
      <c r="D24" s="6">
        <v>4</v>
      </c>
      <c r="E24" s="2">
        <v>3542500000</v>
      </c>
      <c r="F24" s="2">
        <v>564867241.03987479</v>
      </c>
      <c r="G24" s="2">
        <v>37.5</v>
      </c>
      <c r="H24" s="12"/>
      <c r="L24" s="3"/>
      <c r="M24" s="4" t="s">
        <v>6</v>
      </c>
      <c r="N24" s="4" t="s">
        <v>7</v>
      </c>
      <c r="O24" s="4" t="s">
        <v>6</v>
      </c>
      <c r="P24" s="5" t="s">
        <v>7</v>
      </c>
      <c r="R24" s="3"/>
      <c r="S24" s="4" t="s">
        <v>6</v>
      </c>
      <c r="T24" s="4" t="s">
        <v>7</v>
      </c>
      <c r="U24" s="4" t="s">
        <v>6</v>
      </c>
      <c r="V24" s="5" t="s">
        <v>7</v>
      </c>
      <c r="X24" s="3"/>
      <c r="Y24" s="4" t="s">
        <v>6</v>
      </c>
      <c r="Z24" s="4" t="s">
        <v>7</v>
      </c>
      <c r="AA24" s="4" t="s">
        <v>6</v>
      </c>
      <c r="AB24" s="5" t="s">
        <v>7</v>
      </c>
    </row>
    <row r="25" spans="4:28" x14ac:dyDescent="0.4">
      <c r="D25" s="6">
        <v>5</v>
      </c>
      <c r="E25" s="2">
        <v>3395000000</v>
      </c>
      <c r="F25" s="2">
        <v>753724087.44845092</v>
      </c>
      <c r="G25" s="2">
        <v>38</v>
      </c>
      <c r="H25" s="12">
        <f>E25/E24</f>
        <v>0.95836273817925199</v>
      </c>
      <c r="L25" s="6" t="s">
        <v>8</v>
      </c>
      <c r="M25" s="2">
        <v>158</v>
      </c>
      <c r="N25" s="2">
        <v>316000000</v>
      </c>
      <c r="O25" s="2">
        <v>171</v>
      </c>
      <c r="P25" s="7">
        <v>342000000</v>
      </c>
      <c r="R25" s="6" t="s">
        <v>8</v>
      </c>
      <c r="S25" s="2">
        <v>148</v>
      </c>
      <c r="T25" s="2">
        <v>296000000</v>
      </c>
      <c r="U25" s="2">
        <v>137</v>
      </c>
      <c r="V25" s="7">
        <v>274000000</v>
      </c>
      <c r="X25" s="6" t="s">
        <v>8</v>
      </c>
      <c r="Y25" s="2">
        <v>147</v>
      </c>
      <c r="Z25" s="2">
        <v>294000000</v>
      </c>
      <c r="AA25" s="2">
        <v>126</v>
      </c>
      <c r="AB25" s="7">
        <v>252000000</v>
      </c>
    </row>
    <row r="26" spans="4:28" ht="14.25" thickBot="1" x14ac:dyDescent="0.45">
      <c r="D26" s="8">
        <v>6</v>
      </c>
      <c r="E26" s="9">
        <v>3282500000</v>
      </c>
      <c r="F26" s="9">
        <v>359130895.35711068</v>
      </c>
      <c r="G26" s="9">
        <v>38</v>
      </c>
      <c r="H26" s="13">
        <f>E26/E24</f>
        <v>0.92660550458715596</v>
      </c>
      <c r="L26" s="6" t="s">
        <v>9</v>
      </c>
      <c r="M26" s="2">
        <v>161</v>
      </c>
      <c r="N26" s="2">
        <v>322000000</v>
      </c>
      <c r="O26" s="2">
        <v>185</v>
      </c>
      <c r="P26" s="7">
        <v>370000000</v>
      </c>
      <c r="R26" s="6" t="s">
        <v>9</v>
      </c>
      <c r="S26" s="2">
        <v>174</v>
      </c>
      <c r="T26" s="2">
        <v>348000000</v>
      </c>
      <c r="U26" s="2">
        <v>133</v>
      </c>
      <c r="V26" s="7">
        <v>266000000</v>
      </c>
      <c r="X26" s="6" t="s">
        <v>9</v>
      </c>
      <c r="Y26" s="2">
        <v>144</v>
      </c>
      <c r="Z26" s="2">
        <v>288000000</v>
      </c>
      <c r="AA26" s="2">
        <v>134</v>
      </c>
      <c r="AB26" s="7">
        <v>268000000</v>
      </c>
    </row>
    <row r="27" spans="4:28" x14ac:dyDescent="0.4">
      <c r="L27" s="6" t="s">
        <v>10</v>
      </c>
      <c r="M27" s="2"/>
      <c r="N27" s="2" t="s">
        <v>12</v>
      </c>
      <c r="O27" s="2">
        <v>166</v>
      </c>
      <c r="P27" s="7">
        <v>332000000</v>
      </c>
      <c r="R27" s="6" t="s">
        <v>10</v>
      </c>
      <c r="S27" s="2"/>
      <c r="T27" s="2" t="s">
        <v>12</v>
      </c>
      <c r="U27" s="2">
        <v>139</v>
      </c>
      <c r="V27" s="7">
        <v>278000000</v>
      </c>
      <c r="X27" s="6" t="s">
        <v>10</v>
      </c>
      <c r="Y27" s="2">
        <v>155</v>
      </c>
      <c r="Z27" s="2">
        <v>310000000</v>
      </c>
      <c r="AA27" s="2"/>
      <c r="AB27" s="7" t="s">
        <v>12</v>
      </c>
    </row>
    <row r="28" spans="4:28" x14ac:dyDescent="0.4">
      <c r="L28" s="6" t="s">
        <v>11</v>
      </c>
      <c r="M28" s="2"/>
      <c r="N28" s="2" t="s">
        <v>12</v>
      </c>
      <c r="O28" s="2"/>
      <c r="P28" s="7" t="s">
        <v>12</v>
      </c>
      <c r="R28" s="6" t="s">
        <v>11</v>
      </c>
      <c r="S28" s="2"/>
      <c r="T28" s="2" t="s">
        <v>12</v>
      </c>
      <c r="U28" s="2"/>
      <c r="V28" s="7" t="s">
        <v>12</v>
      </c>
      <c r="X28" s="6" t="s">
        <v>11</v>
      </c>
      <c r="Y28" s="2"/>
      <c r="Z28" s="2" t="s">
        <v>12</v>
      </c>
      <c r="AA28" s="2"/>
      <c r="AB28" s="7" t="s">
        <v>12</v>
      </c>
    </row>
    <row r="29" spans="4:28" x14ac:dyDescent="0.4">
      <c r="L29" s="6" t="s">
        <v>13</v>
      </c>
      <c r="M29" s="2"/>
      <c r="N29" s="2" t="s">
        <v>12</v>
      </c>
      <c r="O29" s="2"/>
      <c r="P29" s="7" t="s">
        <v>12</v>
      </c>
      <c r="R29" s="6" t="s">
        <v>13</v>
      </c>
      <c r="S29" s="2"/>
      <c r="T29" s="2" t="s">
        <v>12</v>
      </c>
      <c r="U29" s="2"/>
      <c r="V29" s="7" t="s">
        <v>12</v>
      </c>
      <c r="X29" s="6" t="s">
        <v>13</v>
      </c>
      <c r="Y29" s="2"/>
      <c r="Z29" s="2" t="s">
        <v>12</v>
      </c>
      <c r="AA29" s="2"/>
      <c r="AB29" s="7" t="s">
        <v>12</v>
      </c>
    </row>
    <row r="30" spans="4:28" x14ac:dyDescent="0.4">
      <c r="L30" s="6" t="s">
        <v>14</v>
      </c>
      <c r="M30" s="2">
        <v>4</v>
      </c>
      <c r="N30" s="2"/>
      <c r="O30" s="2">
        <v>4</v>
      </c>
      <c r="P30" s="7"/>
      <c r="R30" s="6" t="s">
        <v>14</v>
      </c>
      <c r="S30" s="2">
        <v>4</v>
      </c>
      <c r="T30" s="2"/>
      <c r="U30" s="2">
        <v>4</v>
      </c>
      <c r="V30" s="7"/>
      <c r="X30" s="6" t="s">
        <v>14</v>
      </c>
      <c r="Y30" s="2">
        <v>4</v>
      </c>
      <c r="Z30" s="2"/>
      <c r="AA30" s="2">
        <v>4</v>
      </c>
      <c r="AB30" s="7"/>
    </row>
    <row r="31" spans="4:28" x14ac:dyDescent="0.4">
      <c r="L31" s="6" t="s">
        <v>15</v>
      </c>
      <c r="M31" s="2">
        <v>5</v>
      </c>
      <c r="N31" s="2"/>
      <c r="O31" s="2">
        <v>5</v>
      </c>
      <c r="P31" s="7"/>
      <c r="R31" s="6" t="s">
        <v>15</v>
      </c>
      <c r="S31" s="2">
        <v>5</v>
      </c>
      <c r="T31" s="2"/>
      <c r="U31" s="2">
        <v>5</v>
      </c>
      <c r="V31" s="7"/>
      <c r="X31" s="6" t="s">
        <v>15</v>
      </c>
      <c r="Y31" s="2">
        <v>5</v>
      </c>
      <c r="Z31" s="2"/>
      <c r="AA31" s="2">
        <v>5</v>
      </c>
      <c r="AB31" s="7"/>
    </row>
    <row r="32" spans="4:28" x14ac:dyDescent="0.4">
      <c r="L32" s="6" t="s">
        <v>17</v>
      </c>
      <c r="M32" s="2">
        <v>16360521.589077368</v>
      </c>
      <c r="N32" s="2" t="s">
        <v>4</v>
      </c>
      <c r="O32" s="2">
        <v>4</v>
      </c>
      <c r="P32" s="7"/>
      <c r="R32" s="6" t="s">
        <v>17</v>
      </c>
      <c r="S32" s="2">
        <v>26474306.202219706</v>
      </c>
      <c r="T32" s="2" t="s">
        <v>4</v>
      </c>
      <c r="U32" s="2">
        <v>4</v>
      </c>
      <c r="V32" s="7"/>
      <c r="X32" s="6" t="s">
        <v>17</v>
      </c>
      <c r="Y32" s="2">
        <v>12256517.540566824</v>
      </c>
      <c r="Z32" s="2" t="s">
        <v>4</v>
      </c>
      <c r="AA32" s="2">
        <v>4</v>
      </c>
      <c r="AB32" s="7"/>
    </row>
    <row r="33" spans="12:28" ht="14.25" thickBot="1" x14ac:dyDescent="0.45">
      <c r="L33" s="8" t="s">
        <v>18</v>
      </c>
      <c r="M33" s="9">
        <v>333500000</v>
      </c>
      <c r="N33" s="9" t="s">
        <v>21</v>
      </c>
      <c r="O33" s="9">
        <v>0</v>
      </c>
      <c r="P33" s="10"/>
      <c r="R33" s="8" t="s">
        <v>18</v>
      </c>
      <c r="S33" s="9">
        <v>322000000</v>
      </c>
      <c r="T33" s="9" t="s">
        <v>21</v>
      </c>
      <c r="U33" s="9">
        <v>25</v>
      </c>
      <c r="V33" s="10"/>
      <c r="X33" s="8" t="s">
        <v>18</v>
      </c>
      <c r="Y33" s="9">
        <v>278666666.66666663</v>
      </c>
      <c r="Z33" s="9" t="s">
        <v>21</v>
      </c>
      <c r="AA33" s="9">
        <v>50</v>
      </c>
      <c r="AB33" s="10"/>
    </row>
    <row r="34" spans="12:28" ht="14.25" thickBot="1" x14ac:dyDescent="0.45"/>
    <row r="35" spans="12:28" x14ac:dyDescent="0.4">
      <c r="L35" s="3"/>
      <c r="M35" s="4" t="s">
        <v>6</v>
      </c>
      <c r="N35" s="4" t="s">
        <v>7</v>
      </c>
      <c r="O35" s="4" t="s">
        <v>6</v>
      </c>
      <c r="P35" s="5" t="s">
        <v>7</v>
      </c>
      <c r="R35" s="3"/>
      <c r="S35" s="4" t="s">
        <v>6</v>
      </c>
      <c r="T35" s="4" t="s">
        <v>7</v>
      </c>
      <c r="U35" s="4" t="s">
        <v>6</v>
      </c>
      <c r="V35" s="5" t="s">
        <v>7</v>
      </c>
      <c r="X35" s="3"/>
      <c r="Y35" s="4" t="s">
        <v>6</v>
      </c>
      <c r="Z35" s="4" t="s">
        <v>7</v>
      </c>
      <c r="AA35" s="4" t="s">
        <v>6</v>
      </c>
      <c r="AB35" s="5" t="s">
        <v>7</v>
      </c>
    </row>
    <row r="36" spans="12:28" x14ac:dyDescent="0.4">
      <c r="L36" s="6" t="s">
        <v>8</v>
      </c>
      <c r="M36" s="2">
        <v>129</v>
      </c>
      <c r="N36" s="2">
        <v>2580000000</v>
      </c>
      <c r="O36" s="2">
        <v>25</v>
      </c>
      <c r="P36" s="7">
        <v>5000000000</v>
      </c>
      <c r="R36" s="6" t="s">
        <v>8</v>
      </c>
      <c r="S36" s="2">
        <v>128</v>
      </c>
      <c r="T36" s="2">
        <v>2560000000</v>
      </c>
      <c r="U36" s="2">
        <v>21</v>
      </c>
      <c r="V36" s="7">
        <v>4200000000</v>
      </c>
      <c r="X36" s="6" t="s">
        <v>8</v>
      </c>
      <c r="Y36" s="2">
        <v>134</v>
      </c>
      <c r="Z36" s="2">
        <v>2680000000</v>
      </c>
      <c r="AA36" s="2">
        <v>25</v>
      </c>
      <c r="AB36" s="7">
        <v>5000000000</v>
      </c>
    </row>
    <row r="37" spans="12:28" x14ac:dyDescent="0.4">
      <c r="L37" s="6" t="s">
        <v>9</v>
      </c>
      <c r="M37" s="2">
        <v>131</v>
      </c>
      <c r="N37" s="2">
        <v>2620000000</v>
      </c>
      <c r="O37" s="2">
        <v>24</v>
      </c>
      <c r="P37" s="7">
        <v>4800000000</v>
      </c>
      <c r="R37" s="6" t="s">
        <v>9</v>
      </c>
      <c r="S37" s="2">
        <v>125</v>
      </c>
      <c r="T37" s="2">
        <v>2500000000</v>
      </c>
      <c r="U37" s="2">
        <v>25</v>
      </c>
      <c r="V37" s="7">
        <v>5000000000</v>
      </c>
      <c r="X37" s="6" t="s">
        <v>9</v>
      </c>
      <c r="Y37" s="2">
        <v>129</v>
      </c>
      <c r="Z37" s="2">
        <v>2580000000</v>
      </c>
      <c r="AA37" s="2">
        <v>20</v>
      </c>
      <c r="AB37" s="7">
        <v>4000000000</v>
      </c>
    </row>
    <row r="38" spans="12:28" x14ac:dyDescent="0.4">
      <c r="L38" s="6" t="s">
        <v>10</v>
      </c>
      <c r="M38" s="2">
        <v>127</v>
      </c>
      <c r="N38" s="2">
        <v>2540000000</v>
      </c>
      <c r="O38" s="2">
        <v>29</v>
      </c>
      <c r="P38" s="7">
        <v>5800000000</v>
      </c>
      <c r="R38" s="6" t="s">
        <v>10</v>
      </c>
      <c r="S38" s="2">
        <v>131</v>
      </c>
      <c r="T38" s="2">
        <v>2620000000</v>
      </c>
      <c r="U38" s="2">
        <v>28</v>
      </c>
      <c r="V38" s="7">
        <v>5600000000</v>
      </c>
      <c r="X38" s="6" t="s">
        <v>10</v>
      </c>
      <c r="Y38" s="2">
        <v>127</v>
      </c>
      <c r="Z38" s="2">
        <v>2540000000</v>
      </c>
      <c r="AA38" s="2">
        <v>21</v>
      </c>
      <c r="AB38" s="7">
        <v>4200000000</v>
      </c>
    </row>
    <row r="39" spans="12:28" x14ac:dyDescent="0.4">
      <c r="L39" s="6" t="s">
        <v>11</v>
      </c>
      <c r="M39" s="2">
        <v>127</v>
      </c>
      <c r="N39" s="2">
        <v>2540000000</v>
      </c>
      <c r="O39" s="2">
        <v>28</v>
      </c>
      <c r="P39" s="7">
        <v>5600000000</v>
      </c>
      <c r="R39" s="6" t="s">
        <v>11</v>
      </c>
      <c r="S39" s="2"/>
      <c r="T39" s="2" t="s">
        <v>12</v>
      </c>
      <c r="U39" s="2">
        <v>26</v>
      </c>
      <c r="V39" s="7">
        <v>5200000000</v>
      </c>
      <c r="X39" s="6" t="s">
        <v>11</v>
      </c>
      <c r="Y39" s="2">
        <v>139</v>
      </c>
      <c r="Z39" s="2">
        <v>2780000000</v>
      </c>
      <c r="AA39" s="2">
        <v>19</v>
      </c>
      <c r="AB39" s="7">
        <v>3800000000</v>
      </c>
    </row>
    <row r="40" spans="12:28" x14ac:dyDescent="0.4">
      <c r="L40" s="6" t="s">
        <v>13</v>
      </c>
      <c r="M40" s="2"/>
      <c r="N40" s="2" t="s">
        <v>12</v>
      </c>
      <c r="O40" s="2"/>
      <c r="P40" s="7" t="s">
        <v>12</v>
      </c>
      <c r="R40" s="6" t="s">
        <v>13</v>
      </c>
      <c r="S40" s="2"/>
      <c r="T40" s="2" t="s">
        <v>12</v>
      </c>
      <c r="U40" s="2">
        <v>23</v>
      </c>
      <c r="V40" s="7">
        <v>4600000000</v>
      </c>
      <c r="X40" s="6" t="s">
        <v>13</v>
      </c>
      <c r="Y40" s="2"/>
      <c r="Z40" s="2" t="s">
        <v>12</v>
      </c>
      <c r="AA40" s="2">
        <v>26</v>
      </c>
      <c r="AB40" s="7">
        <v>5200000000</v>
      </c>
    </row>
    <row r="41" spans="12:28" x14ac:dyDescent="0.4">
      <c r="L41" s="6" t="s">
        <v>14</v>
      </c>
      <c r="M41" s="2">
        <v>5</v>
      </c>
      <c r="N41" s="2"/>
      <c r="O41" s="2">
        <v>6</v>
      </c>
      <c r="P41" s="7"/>
      <c r="R41" s="6" t="s">
        <v>14</v>
      </c>
      <c r="S41" s="2">
        <v>5</v>
      </c>
      <c r="T41" s="2"/>
      <c r="U41" s="2">
        <v>6</v>
      </c>
      <c r="V41" s="7"/>
      <c r="X41" s="6" t="s">
        <v>14</v>
      </c>
      <c r="Y41" s="2">
        <v>5</v>
      </c>
      <c r="Z41" s="2"/>
      <c r="AA41" s="2">
        <v>6</v>
      </c>
      <c r="AB41" s="7"/>
    </row>
    <row r="42" spans="12:28" x14ac:dyDescent="0.4">
      <c r="L42" s="6" t="s">
        <v>15</v>
      </c>
      <c r="M42" s="2">
        <v>5</v>
      </c>
      <c r="N42" s="2"/>
      <c r="O42" s="2">
        <v>5</v>
      </c>
      <c r="P42" s="7"/>
      <c r="R42" s="6" t="s">
        <v>15</v>
      </c>
      <c r="S42" s="2">
        <v>5</v>
      </c>
      <c r="T42" s="2"/>
      <c r="U42" s="2">
        <v>5</v>
      </c>
      <c r="V42" s="7"/>
      <c r="X42" s="6" t="s">
        <v>15</v>
      </c>
      <c r="Y42" s="2">
        <v>5</v>
      </c>
      <c r="Z42" s="2"/>
      <c r="AA42" s="2">
        <v>5</v>
      </c>
      <c r="AB42" s="7"/>
    </row>
    <row r="43" spans="12:28" x14ac:dyDescent="0.4">
      <c r="L43" s="6" t="s">
        <v>17</v>
      </c>
      <c r="M43" s="2">
        <v>413642357.59892863</v>
      </c>
      <c r="N43" s="2" t="s">
        <v>4</v>
      </c>
      <c r="O43" s="2">
        <v>37.5</v>
      </c>
      <c r="P43" s="7"/>
      <c r="R43" s="6" t="s">
        <v>17</v>
      </c>
      <c r="S43" s="2">
        <v>485798312.05964476</v>
      </c>
      <c r="T43" s="2" t="s">
        <v>4</v>
      </c>
      <c r="U43" s="2">
        <v>37.5</v>
      </c>
      <c r="V43" s="7"/>
      <c r="X43" s="6" t="s">
        <v>17</v>
      </c>
      <c r="Y43" s="2">
        <v>564867241.03987479</v>
      </c>
      <c r="Z43" s="2" t="s">
        <v>4</v>
      </c>
      <c r="AA43" s="2">
        <v>37.5</v>
      </c>
      <c r="AB43" s="7"/>
    </row>
    <row r="44" spans="12:28" ht="14.25" thickBot="1" x14ac:dyDescent="0.45">
      <c r="L44" s="8" t="s">
        <v>18</v>
      </c>
      <c r="M44" s="9">
        <v>3935000000</v>
      </c>
      <c r="N44" s="9" t="s">
        <v>21</v>
      </c>
      <c r="O44" s="9">
        <v>0</v>
      </c>
      <c r="P44" s="10"/>
      <c r="R44" s="8" t="s">
        <v>18</v>
      </c>
      <c r="S44" s="9">
        <v>3740000000</v>
      </c>
      <c r="T44" s="9" t="s">
        <v>21</v>
      </c>
      <c r="U44" s="9">
        <v>25</v>
      </c>
      <c r="V44" s="10"/>
      <c r="X44" s="8" t="s">
        <v>18</v>
      </c>
      <c r="Y44" s="9">
        <v>3542500000</v>
      </c>
      <c r="Z44" s="9" t="s">
        <v>21</v>
      </c>
      <c r="AA44" s="9">
        <v>50</v>
      </c>
      <c r="AB44" s="10"/>
    </row>
    <row r="45" spans="12:28" ht="14.25" thickBot="1" x14ac:dyDescent="0.45"/>
    <row r="46" spans="12:28" x14ac:dyDescent="0.4">
      <c r="L46" s="3"/>
      <c r="M46" s="4" t="s">
        <v>6</v>
      </c>
      <c r="N46" s="4" t="s">
        <v>7</v>
      </c>
      <c r="O46" s="4" t="s">
        <v>6</v>
      </c>
      <c r="P46" s="5" t="s">
        <v>7</v>
      </c>
      <c r="R46" s="3"/>
      <c r="S46" s="4" t="s">
        <v>6</v>
      </c>
      <c r="T46" s="4" t="s">
        <v>7</v>
      </c>
      <c r="U46" s="4" t="s">
        <v>6</v>
      </c>
      <c r="V46" s="5" t="s">
        <v>7</v>
      </c>
      <c r="X46" s="3"/>
      <c r="Y46" s="4" t="s">
        <v>6</v>
      </c>
      <c r="Z46" s="4" t="s">
        <v>7</v>
      </c>
      <c r="AA46" s="4" t="s">
        <v>6</v>
      </c>
      <c r="AB46" s="5" t="s">
        <v>7</v>
      </c>
    </row>
    <row r="47" spans="12:28" x14ac:dyDescent="0.4">
      <c r="L47" s="6" t="s">
        <v>8</v>
      </c>
      <c r="M47" s="2">
        <v>130</v>
      </c>
      <c r="N47" s="2">
        <v>2600000000</v>
      </c>
      <c r="O47" s="2">
        <v>23</v>
      </c>
      <c r="P47" s="7">
        <v>4600000000</v>
      </c>
      <c r="R47" s="6" t="s">
        <v>8</v>
      </c>
      <c r="S47" s="2">
        <v>120</v>
      </c>
      <c r="T47" s="2">
        <v>2400000000</v>
      </c>
      <c r="U47" s="2">
        <v>26</v>
      </c>
      <c r="V47" s="7">
        <v>5200000000</v>
      </c>
      <c r="X47" s="6" t="s">
        <v>8</v>
      </c>
      <c r="Y47" s="2">
        <v>115</v>
      </c>
      <c r="Z47" s="2">
        <v>2300000000</v>
      </c>
      <c r="AA47" s="2">
        <v>22</v>
      </c>
      <c r="AB47" s="7">
        <v>4400000000</v>
      </c>
    </row>
    <row r="48" spans="12:28" x14ac:dyDescent="0.4">
      <c r="L48" s="6" t="s">
        <v>9</v>
      </c>
      <c r="M48" s="2">
        <v>145</v>
      </c>
      <c r="N48" s="2">
        <v>2900000000</v>
      </c>
      <c r="O48" s="2">
        <v>26</v>
      </c>
      <c r="P48" s="7">
        <v>5200000000</v>
      </c>
      <c r="R48" s="6" t="s">
        <v>9</v>
      </c>
      <c r="S48" s="2">
        <v>135</v>
      </c>
      <c r="T48" s="2">
        <v>2700000000</v>
      </c>
      <c r="U48" s="2">
        <v>18</v>
      </c>
      <c r="V48" s="7">
        <v>3600000000</v>
      </c>
      <c r="X48" s="6" t="s">
        <v>9</v>
      </c>
      <c r="Y48" s="2">
        <v>124</v>
      </c>
      <c r="Z48" s="2">
        <v>2480000000</v>
      </c>
      <c r="AA48" s="2">
        <v>20</v>
      </c>
      <c r="AB48" s="7">
        <v>4000000000</v>
      </c>
    </row>
    <row r="49" spans="12:28" x14ac:dyDescent="0.4">
      <c r="L49" s="6" t="s">
        <v>10</v>
      </c>
      <c r="M49" s="2">
        <v>151</v>
      </c>
      <c r="N49" s="2">
        <v>3020000000</v>
      </c>
      <c r="O49" s="2">
        <v>27</v>
      </c>
      <c r="P49" s="7">
        <v>5400000000</v>
      </c>
      <c r="R49" s="6" t="s">
        <v>10</v>
      </c>
      <c r="S49" s="2">
        <v>129</v>
      </c>
      <c r="T49" s="2">
        <v>2580000000</v>
      </c>
      <c r="U49" s="2">
        <v>24</v>
      </c>
      <c r="V49" s="7">
        <v>4800000000</v>
      </c>
      <c r="X49" s="6" t="s">
        <v>10</v>
      </c>
      <c r="Y49" s="2"/>
      <c r="Z49" s="2" t="s">
        <v>12</v>
      </c>
      <c r="AA49" s="2">
        <v>18</v>
      </c>
      <c r="AB49" s="7">
        <v>3600000000</v>
      </c>
    </row>
    <row r="50" spans="12:28" x14ac:dyDescent="0.4">
      <c r="L50" s="6" t="s">
        <v>11</v>
      </c>
      <c r="M50" s="2"/>
      <c r="N50" s="2" t="s">
        <v>12</v>
      </c>
      <c r="O50" s="2"/>
      <c r="P50" s="7" t="s">
        <v>12</v>
      </c>
      <c r="R50" s="6" t="s">
        <v>11</v>
      </c>
      <c r="S50" s="2"/>
      <c r="T50" s="2" t="s">
        <v>12</v>
      </c>
      <c r="U50" s="2"/>
      <c r="V50" s="7" t="s">
        <v>12</v>
      </c>
      <c r="X50" s="6" t="s">
        <v>11</v>
      </c>
      <c r="Y50" s="2"/>
      <c r="Z50" s="2" t="s">
        <v>12</v>
      </c>
      <c r="AA50" s="2">
        <v>28</v>
      </c>
      <c r="AB50" s="7">
        <v>5600000000</v>
      </c>
    </row>
    <row r="51" spans="12:28" x14ac:dyDescent="0.4">
      <c r="L51" s="6" t="s">
        <v>13</v>
      </c>
      <c r="M51" s="2"/>
      <c r="N51" s="2" t="s">
        <v>12</v>
      </c>
      <c r="O51" s="2"/>
      <c r="P51" s="7" t="s">
        <v>12</v>
      </c>
      <c r="R51" s="6" t="s">
        <v>13</v>
      </c>
      <c r="S51" s="2"/>
      <c r="T51" s="2" t="s">
        <v>12</v>
      </c>
      <c r="U51" s="2"/>
      <c r="V51" s="7" t="s">
        <v>12</v>
      </c>
      <c r="X51" s="6" t="s">
        <v>13</v>
      </c>
      <c r="Y51" s="2"/>
      <c r="Z51" s="2" t="s">
        <v>12</v>
      </c>
      <c r="AA51" s="2"/>
      <c r="AB51" s="7" t="s">
        <v>12</v>
      </c>
    </row>
    <row r="52" spans="12:28" x14ac:dyDescent="0.4">
      <c r="L52" s="6" t="s">
        <v>14</v>
      </c>
      <c r="M52" s="2">
        <v>5</v>
      </c>
      <c r="N52" s="2"/>
      <c r="O52" s="2">
        <v>6</v>
      </c>
      <c r="P52" s="7"/>
      <c r="R52" s="6" t="s">
        <v>14</v>
      </c>
      <c r="S52" s="2">
        <v>5</v>
      </c>
      <c r="T52" s="2"/>
      <c r="U52" s="2">
        <v>6</v>
      </c>
      <c r="V52" s="7"/>
      <c r="X52" s="6" t="s">
        <v>14</v>
      </c>
      <c r="Y52" s="2">
        <v>5</v>
      </c>
      <c r="Z52" s="2"/>
      <c r="AA52" s="2">
        <v>6</v>
      </c>
      <c r="AB52" s="7"/>
    </row>
    <row r="53" spans="12:28" x14ac:dyDescent="0.4">
      <c r="L53" s="6" t="s">
        <v>15</v>
      </c>
      <c r="M53" s="2">
        <v>5</v>
      </c>
      <c r="N53" s="2"/>
      <c r="O53" s="2">
        <v>5</v>
      </c>
      <c r="P53" s="7"/>
      <c r="R53" s="6" t="s">
        <v>15</v>
      </c>
      <c r="S53" s="2">
        <v>5</v>
      </c>
      <c r="T53" s="2"/>
      <c r="U53" s="2">
        <v>5</v>
      </c>
      <c r="V53" s="7"/>
      <c r="X53" s="6" t="s">
        <v>15</v>
      </c>
      <c r="Y53" s="2">
        <v>5</v>
      </c>
      <c r="Z53" s="2"/>
      <c r="AA53" s="2">
        <v>5</v>
      </c>
      <c r="AB53" s="7"/>
    </row>
    <row r="54" spans="12:28" x14ac:dyDescent="0.4">
      <c r="L54" s="6" t="s">
        <v>17</v>
      </c>
      <c r="M54" s="2">
        <v>383086877.29489714</v>
      </c>
      <c r="N54" s="2" t="s">
        <v>4</v>
      </c>
      <c r="O54" s="2">
        <v>38</v>
      </c>
      <c r="P54" s="7"/>
      <c r="R54" s="6" t="s">
        <v>17</v>
      </c>
      <c r="S54" s="2">
        <v>690957467.73750281</v>
      </c>
      <c r="T54" s="2" t="s">
        <v>4</v>
      </c>
      <c r="U54" s="2">
        <v>38</v>
      </c>
      <c r="V54" s="7"/>
      <c r="X54" s="6" t="s">
        <v>17</v>
      </c>
      <c r="Y54" s="2">
        <v>753724087.44845092</v>
      </c>
      <c r="Z54" s="2" t="s">
        <v>4</v>
      </c>
      <c r="AA54" s="2">
        <v>38</v>
      </c>
      <c r="AB54" s="7"/>
    </row>
    <row r="55" spans="12:28" ht="14.25" thickBot="1" x14ac:dyDescent="0.45">
      <c r="L55" s="8" t="s">
        <v>18</v>
      </c>
      <c r="M55" s="9">
        <v>3953333333.3333335</v>
      </c>
      <c r="N55" s="9" t="s">
        <v>21</v>
      </c>
      <c r="O55" s="9">
        <v>0</v>
      </c>
      <c r="P55" s="10"/>
      <c r="R55" s="8" t="s">
        <v>18</v>
      </c>
      <c r="S55" s="9">
        <v>3546666666.6666665</v>
      </c>
      <c r="T55" s="9" t="s">
        <v>21</v>
      </c>
      <c r="U55" s="9">
        <v>25</v>
      </c>
      <c r="V55" s="10"/>
      <c r="X55" s="8" t="s">
        <v>18</v>
      </c>
      <c r="Y55" s="9">
        <v>3395000000</v>
      </c>
      <c r="Z55" s="9" t="s">
        <v>21</v>
      </c>
      <c r="AA55" s="9">
        <v>50</v>
      </c>
      <c r="AB55" s="10"/>
    </row>
    <row r="56" spans="12:28" ht="14.25" thickBot="1" x14ac:dyDescent="0.45"/>
    <row r="57" spans="12:28" x14ac:dyDescent="0.4">
      <c r="L57" s="3" t="s">
        <v>20</v>
      </c>
      <c r="M57" s="4" t="s">
        <v>6</v>
      </c>
      <c r="N57" s="4" t="s">
        <v>7</v>
      </c>
      <c r="O57" s="4" t="s">
        <v>6</v>
      </c>
      <c r="P57" s="5" t="s">
        <v>7</v>
      </c>
      <c r="R57" s="3" t="s">
        <v>20</v>
      </c>
      <c r="S57" s="4" t="s">
        <v>6</v>
      </c>
      <c r="T57" s="4" t="s">
        <v>7</v>
      </c>
      <c r="U57" s="4" t="s">
        <v>6</v>
      </c>
      <c r="V57" s="5" t="s">
        <v>7</v>
      </c>
      <c r="X57" s="3" t="s">
        <v>20</v>
      </c>
      <c r="Y57" s="4" t="s">
        <v>6</v>
      </c>
      <c r="Z57" s="4" t="s">
        <v>7</v>
      </c>
      <c r="AA57" s="4" t="s">
        <v>6</v>
      </c>
      <c r="AB57" s="5" t="s">
        <v>7</v>
      </c>
    </row>
    <row r="58" spans="12:28" x14ac:dyDescent="0.4">
      <c r="L58" s="6" t="s">
        <v>8</v>
      </c>
      <c r="M58" s="2">
        <v>145</v>
      </c>
      <c r="N58" s="2">
        <v>2900000000</v>
      </c>
      <c r="O58" s="2">
        <v>27</v>
      </c>
      <c r="P58" s="7">
        <v>5400000000</v>
      </c>
      <c r="R58" s="6" t="s">
        <v>8</v>
      </c>
      <c r="S58" s="2">
        <v>95</v>
      </c>
      <c r="T58" s="2">
        <v>1900000000</v>
      </c>
      <c r="U58" s="2">
        <v>21</v>
      </c>
      <c r="V58" s="7">
        <v>4200000000</v>
      </c>
      <c r="X58" s="6" t="s">
        <v>8</v>
      </c>
      <c r="Y58" s="2">
        <v>92</v>
      </c>
      <c r="Z58" s="2">
        <v>1840000000</v>
      </c>
      <c r="AA58" s="2">
        <v>23</v>
      </c>
      <c r="AB58" s="7">
        <v>4600000000</v>
      </c>
    </row>
    <row r="59" spans="12:28" x14ac:dyDescent="0.4">
      <c r="L59" s="6" t="s">
        <v>9</v>
      </c>
      <c r="M59" s="2">
        <v>135</v>
      </c>
      <c r="N59" s="2">
        <v>2700000000</v>
      </c>
      <c r="O59" s="2">
        <v>26</v>
      </c>
      <c r="P59" s="7">
        <v>5200000000</v>
      </c>
      <c r="R59" s="6" t="s">
        <v>9</v>
      </c>
      <c r="S59" s="2">
        <v>97</v>
      </c>
      <c r="T59" s="2">
        <v>1940000000</v>
      </c>
      <c r="U59" s="2">
        <v>16</v>
      </c>
      <c r="V59" s="7">
        <v>3200000000</v>
      </c>
      <c r="X59" s="6" t="s">
        <v>9</v>
      </c>
      <c r="Y59" s="2">
        <v>98</v>
      </c>
      <c r="Z59" s="2">
        <v>1960000000</v>
      </c>
      <c r="AA59" s="2">
        <v>21</v>
      </c>
      <c r="AB59" s="7">
        <v>4200000000</v>
      </c>
    </row>
    <row r="60" spans="12:28" x14ac:dyDescent="0.4">
      <c r="L60" s="6" t="s">
        <v>10</v>
      </c>
      <c r="M60" s="2">
        <v>129</v>
      </c>
      <c r="N60" s="2">
        <v>2580000000</v>
      </c>
      <c r="O60" s="2">
        <v>22</v>
      </c>
      <c r="P60" s="7">
        <v>4400000000</v>
      </c>
      <c r="R60" s="6" t="s">
        <v>10</v>
      </c>
      <c r="S60" s="2">
        <v>94</v>
      </c>
      <c r="T60" s="2">
        <v>1880000000</v>
      </c>
      <c r="U60" s="2">
        <v>18</v>
      </c>
      <c r="V60" s="7">
        <v>3600000000</v>
      </c>
      <c r="X60" s="6" t="s">
        <v>10</v>
      </c>
      <c r="Y60" s="2">
        <v>118</v>
      </c>
      <c r="Z60" s="2">
        <v>2360000000</v>
      </c>
      <c r="AA60" s="2">
        <v>25</v>
      </c>
      <c r="AB60" s="7">
        <v>5000000000</v>
      </c>
    </row>
    <row r="61" spans="12:28" x14ac:dyDescent="0.4">
      <c r="L61" s="6" t="s">
        <v>11</v>
      </c>
      <c r="M61" s="2"/>
      <c r="N61" s="2" t="s">
        <v>12</v>
      </c>
      <c r="O61" s="2">
        <v>19</v>
      </c>
      <c r="P61" s="7">
        <v>3800000000</v>
      </c>
      <c r="R61" s="6" t="s">
        <v>11</v>
      </c>
      <c r="S61" s="2">
        <v>97</v>
      </c>
      <c r="T61" s="2">
        <v>1940000000</v>
      </c>
      <c r="U61" s="2">
        <v>21</v>
      </c>
      <c r="V61" s="7">
        <v>4200000000</v>
      </c>
      <c r="X61" s="6" t="s">
        <v>11</v>
      </c>
      <c r="Y61" s="2">
        <v>95</v>
      </c>
      <c r="Z61" s="2">
        <v>1900000000</v>
      </c>
      <c r="AA61" s="2">
        <v>22</v>
      </c>
      <c r="AB61" s="7">
        <v>4400000000</v>
      </c>
    </row>
    <row r="62" spans="12:28" x14ac:dyDescent="0.4">
      <c r="L62" s="6" t="s">
        <v>13</v>
      </c>
      <c r="M62" s="2"/>
      <c r="N62" s="2" t="s">
        <v>12</v>
      </c>
      <c r="O62" s="2"/>
      <c r="P62" s="7" t="s">
        <v>12</v>
      </c>
      <c r="R62" s="6" t="s">
        <v>13</v>
      </c>
      <c r="S62" s="2">
        <v>101</v>
      </c>
      <c r="T62" s="2">
        <v>2020000000</v>
      </c>
      <c r="U62" s="2"/>
      <c r="V62" s="7" t="s">
        <v>12</v>
      </c>
      <c r="X62" s="6" t="s">
        <v>13</v>
      </c>
      <c r="Y62" s="2"/>
      <c r="Z62" s="2" t="s">
        <v>12</v>
      </c>
      <c r="AA62" s="2"/>
      <c r="AB62" s="7" t="s">
        <v>12</v>
      </c>
    </row>
    <row r="63" spans="12:28" x14ac:dyDescent="0.4">
      <c r="L63" s="6" t="s">
        <v>14</v>
      </c>
      <c r="M63" s="2">
        <v>5</v>
      </c>
      <c r="N63" s="2"/>
      <c r="O63" s="2">
        <v>6</v>
      </c>
      <c r="P63" s="7"/>
      <c r="R63" s="6" t="s">
        <v>14</v>
      </c>
      <c r="S63" s="2">
        <v>5</v>
      </c>
      <c r="T63" s="2"/>
      <c r="U63" s="2">
        <v>6</v>
      </c>
      <c r="V63" s="7"/>
      <c r="X63" s="6" t="s">
        <v>14</v>
      </c>
      <c r="Y63" s="2">
        <v>5</v>
      </c>
      <c r="Z63" s="2"/>
      <c r="AA63" s="2">
        <v>6</v>
      </c>
      <c r="AB63" s="7"/>
    </row>
    <row r="64" spans="12:28" x14ac:dyDescent="0.4">
      <c r="L64" s="6" t="s">
        <v>15</v>
      </c>
      <c r="M64" s="2">
        <v>5</v>
      </c>
      <c r="N64" s="2"/>
      <c r="O64" s="2">
        <v>5</v>
      </c>
      <c r="P64" s="7"/>
      <c r="R64" s="6" t="s">
        <v>15</v>
      </c>
      <c r="S64" s="2">
        <v>5</v>
      </c>
      <c r="T64" s="2"/>
      <c r="U64" s="2">
        <v>5</v>
      </c>
      <c r="V64" s="7"/>
      <c r="X64" s="6" t="s">
        <v>15</v>
      </c>
      <c r="Y64" s="2">
        <v>5</v>
      </c>
      <c r="Z64" s="2"/>
      <c r="AA64" s="2">
        <v>5</v>
      </c>
      <c r="AB64" s="7"/>
    </row>
    <row r="65" spans="12:28" x14ac:dyDescent="0.4">
      <c r="L65" s="6" t="s">
        <v>17</v>
      </c>
      <c r="M65" s="2">
        <v>653775360.67232001</v>
      </c>
      <c r="N65" s="2" t="s">
        <v>4</v>
      </c>
      <c r="O65" s="2">
        <v>38</v>
      </c>
      <c r="P65" s="7"/>
      <c r="R65" s="6" t="s">
        <v>17</v>
      </c>
      <c r="S65" s="2">
        <v>426970724.99177265</v>
      </c>
      <c r="T65" s="2" t="s">
        <v>4</v>
      </c>
      <c r="U65" s="2">
        <v>38</v>
      </c>
      <c r="V65" s="7"/>
      <c r="X65" s="6" t="s">
        <v>17</v>
      </c>
      <c r="Y65" s="2">
        <v>359130895.35711068</v>
      </c>
      <c r="Z65" s="2" t="s">
        <v>4</v>
      </c>
      <c r="AA65" s="2">
        <v>38</v>
      </c>
      <c r="AB65" s="7"/>
    </row>
    <row r="66" spans="12:28" ht="14.25" thickBot="1" x14ac:dyDescent="0.45">
      <c r="L66" s="8" t="s">
        <v>18</v>
      </c>
      <c r="M66" s="9">
        <v>3713333333.333333</v>
      </c>
      <c r="N66" s="9" t="s">
        <v>21</v>
      </c>
      <c r="O66" s="9">
        <v>0</v>
      </c>
      <c r="P66" s="10"/>
      <c r="R66" s="8" t="s">
        <v>18</v>
      </c>
      <c r="S66" s="9">
        <v>2868000000</v>
      </c>
      <c r="T66" s="9" t="s">
        <v>21</v>
      </c>
      <c r="U66" s="9">
        <v>25</v>
      </c>
      <c r="V66" s="10"/>
      <c r="X66" s="8" t="s">
        <v>18</v>
      </c>
      <c r="Y66" s="9">
        <v>3282500000</v>
      </c>
      <c r="Z66" s="9" t="s">
        <v>21</v>
      </c>
      <c r="AA66" s="9">
        <v>50</v>
      </c>
      <c r="AB66" s="1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黃品喆</dc:creator>
  <cp:lastModifiedBy>黃品喆</cp:lastModifiedBy>
  <dcterms:created xsi:type="dcterms:W3CDTF">2015-06-05T18:19:34Z</dcterms:created>
  <dcterms:modified xsi:type="dcterms:W3CDTF">2026-06-14T10:45:37Z</dcterms:modified>
</cp:coreProperties>
</file>