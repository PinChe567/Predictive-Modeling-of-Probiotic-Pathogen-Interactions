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EBB15C8D-E993-49F9-A114-82CD183F30C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" sheetId="1" r:id="rId1"/>
    <sheet name="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3" i="1"/>
  <c r="H4" i="1"/>
  <c r="H8" i="1"/>
  <c r="H7" i="1"/>
  <c r="H26" i="1"/>
  <c r="H25" i="1"/>
  <c r="H22" i="1"/>
  <c r="H17" i="1"/>
</calcChain>
</file>

<file path=xl/sharedStrings.xml><?xml version="1.0" encoding="utf-8"?>
<sst xmlns="http://schemas.openxmlformats.org/spreadsheetml/2006/main" count="335" uniqueCount="22">
  <si>
    <t>AMP to E. coli second dose</t>
    <phoneticPr fontId="1" type="noConversion"/>
  </si>
  <si>
    <t>AMP 0 ug/ml</t>
    <phoneticPr fontId="1" type="noConversion"/>
  </si>
  <si>
    <t>mean bacteria concentration</t>
    <phoneticPr fontId="1" type="noConversion"/>
  </si>
  <si>
    <t>SD</t>
  </si>
  <si>
    <t>time (hr)</t>
    <phoneticPr fontId="1" type="noConversion"/>
  </si>
  <si>
    <t>portion</t>
    <phoneticPr fontId="1" type="noConversion"/>
  </si>
  <si>
    <t>CFU</t>
    <phoneticPr fontId="1" type="noConversion"/>
  </si>
  <si>
    <t>bacteria concentration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</si>
  <si>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</si>
  <si>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</si>
  <si>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</si>
  <si>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</si>
  <si>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N/A</t>
  </si>
  <si>
    <t>e</t>
    <phoneticPr fontId="1" type="noConversion"/>
  </si>
  <si>
    <t>dilution ratio (10^n)</t>
    <phoneticPr fontId="1" type="noConversion"/>
  </si>
  <si>
    <t>loading volume (λ)</t>
    <phoneticPr fontId="1" type="noConversion"/>
  </si>
  <si>
    <t>AMP 25 ug/ml</t>
    <phoneticPr fontId="1" type="noConversion"/>
  </si>
  <si>
    <t>SD</t>
    <phoneticPr fontId="1" type="noConversion"/>
  </si>
  <si>
    <t>mean bacteria conc. (mL)</t>
    <phoneticPr fontId="1" type="noConversion"/>
  </si>
  <si>
    <t>AMP 50 ug/ml</t>
    <phoneticPr fontId="1" type="noConversion"/>
  </si>
  <si>
    <t>+</t>
  </si>
  <si>
    <t>AMP concentration (ug/ml)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</si>
</sst>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8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"/>
  <sheetViews>
    <sheetView zoomScale="55" zoomScaleNormal="55" workbookViewId="0">
      <selection activeCell="F52" sqref="F52"/>
    </sheetView>
  </sheetViews>
  <sheetFormatPr defaultRowHeight="13.9" x14ac:dyDescent="0.4"/>
  <cols>
    <col min="1" max="1" width="9.140625" style="1"/>
    <col min="2" max="2" width="25.140625" style="1" bestFit="1" customWidth="1"/>
    <col min="3" max="3" width="9.140625" style="1"/>
    <col min="4" max="4" width="13.35546875" style="1" bestFit="1" customWidth="1"/>
    <col min="5" max="5" width="24.42578125" style="1" bestFit="1" customWidth="1"/>
    <col min="6" max="7" width="13.0703125" style="1" bestFit="1" customWidth="1"/>
    <col min="8" max="8" width="9.2109375" style="1" bestFit="1" customWidth="1"/>
    <col min="9" max="11" width="9.140625" style="1"/>
    <col min="12" max="12" width="22.5" style="1" bestFit="1" customWidth="1"/>
    <col min="13" max="13" width="12.92578125" style="1" bestFit="1" customWidth="1"/>
    <col min="14" max="14" width="24.5" style="1" bestFit="1" customWidth="1"/>
    <col min="15" max="15" width="5.7109375" style="1" bestFit="1" customWidth="1"/>
    <col min="16" max="16" width="19.42578125" style="1" bestFit="1" customWidth="1"/>
    <col min="17" max="17" width="9.140625" style="1"/>
    <col min="18" max="18" width="22.5" style="1" bestFit="1" customWidth="1"/>
    <col min="19" max="19" width="12.92578125" style="1" bestFit="1" customWidth="1"/>
    <col min="20" max="20" width="24.5" style="1" bestFit="1" customWidth="1"/>
    <col min="21" max="21" width="12.35546875" style="1" bestFit="1" customWidth="1"/>
    <col min="22" max="22" width="19.42578125" style="1" bestFit="1" customWidth="1"/>
    <col min="23" max="23" width="9.140625" style="1"/>
    <col min="24" max="24" width="22.5" style="1" bestFit="1" customWidth="1"/>
    <col min="25" max="25" width="12.92578125" style="1" bestFit="1" customWidth="1"/>
    <col min="26" max="26" width="24.5" style="1" bestFit="1" customWidth="1"/>
    <col min="27" max="27" width="12.35546875" style="1" bestFit="1" customWidth="1"/>
    <col min="28" max="28" width="19.42578125" style="1" bestFit="1" customWidth="1"/>
    <col min="29" max="29" width="9.140625" style="1"/>
    <col min="30" max="30" width="22.5" style="1" bestFit="1" customWidth="1"/>
    <col min="31" max="31" width="12.28515625" style="1" bestFit="1" customWidth="1"/>
    <col min="32" max="32" width="24.42578125" style="1" bestFit="1" customWidth="1"/>
    <col min="33" max="33" width="5.140625" style="1" bestFit="1" customWidth="1"/>
    <col min="34" max="34" width="19.35546875" style="1" bestFit="1" customWidth="1"/>
    <col min="35" max="35" width="9.140625" style="1"/>
    <col min="36" max="36" width="22.5" style="1" bestFit="1" customWidth="1"/>
    <col min="37" max="37" width="12.28515625" style="1" bestFit="1" customWidth="1"/>
    <col min="38" max="38" width="24.42578125" style="1" bestFit="1" customWidth="1"/>
    <col min="39" max="39" width="12.28515625" style="1" bestFit="1" customWidth="1"/>
    <col min="40" max="40" width="19.35546875" style="1" bestFit="1" customWidth="1"/>
    <col min="41" max="41" width="9.140625" style="1"/>
    <col min="42" max="42" width="22.5" style="1" bestFit="1" customWidth="1"/>
    <col min="43" max="43" width="12.28515625" style="1" bestFit="1" customWidth="1"/>
    <col min="44" max="44" width="24.42578125" style="1" bestFit="1" customWidth="1"/>
    <col min="45" max="45" width="12.28515625" style="1" bestFit="1" customWidth="1"/>
    <col min="46" max="46" width="19.35546875" style="1" bestFit="1" customWidth="1"/>
    <col min="47" max="16384" width="9.140625" style="1"/>
  </cols>
  <sheetData>
    <row r="1" spans="2:8" ht="14.25" thickBot="1" x14ac:dyDescent="0.45"/>
    <row r="2" spans="2:8" x14ac:dyDescent="0.4">
      <c r="B2" s="1" t="s">
        <v>0</v>
      </c>
      <c r="D2" s="2" t="s">
        <v>1</v>
      </c>
      <c r="E2" s="3" t="s">
        <v>2</v>
      </c>
      <c r="F2" s="3" t="s">
        <v>3</v>
      </c>
      <c r="G2" s="3" t="s">
        <v>4</v>
      </c>
      <c r="H2" s="10" t="s">
        <v>5</v>
      </c>
    </row>
    <row r="3" spans="2:8" x14ac:dyDescent="0.4">
      <c r="D3" s="5">
        <v>1</v>
      </c>
      <c r="E3" s="1">
        <v>1814000</v>
      </c>
      <c r="F3" s="1">
        <v>500975.04927890375</v>
      </c>
      <c r="G3" s="1">
        <v>0</v>
      </c>
      <c r="H3" s="11"/>
    </row>
    <row r="4" spans="2:8" x14ac:dyDescent="0.4">
      <c r="D4" s="5">
        <v>2</v>
      </c>
      <c r="E4" s="1">
        <v>4576000</v>
      </c>
      <c r="F4" s="1">
        <v>1490857.4713902064</v>
      </c>
      <c r="G4" s="1">
        <v>0.5</v>
      </c>
      <c r="H4" s="11">
        <f>E4/E3</f>
        <v>2.5226019845644982</v>
      </c>
    </row>
    <row r="5" spans="2:8" x14ac:dyDescent="0.4">
      <c r="D5" s="5">
        <v>3</v>
      </c>
      <c r="E5" s="1">
        <v>333500000</v>
      </c>
      <c r="F5" s="1">
        <v>16360521.589077368</v>
      </c>
      <c r="G5" s="1">
        <v>4</v>
      </c>
      <c r="H5" s="11"/>
    </row>
    <row r="6" spans="2:8" x14ac:dyDescent="0.4">
      <c r="D6" s="5">
        <v>4</v>
      </c>
      <c r="E6" s="1">
        <v>3935000000</v>
      </c>
      <c r="F6" s="1">
        <v>413642357.59892863</v>
      </c>
      <c r="G6" s="1">
        <v>37.5</v>
      </c>
      <c r="H6" s="11"/>
    </row>
    <row r="7" spans="2:8" x14ac:dyDescent="0.4">
      <c r="D7" s="5">
        <v>5</v>
      </c>
      <c r="E7" s="1">
        <v>3953333333.3333335</v>
      </c>
      <c r="F7" s="1">
        <v>383086877.29489714</v>
      </c>
      <c r="G7" s="1">
        <v>38</v>
      </c>
      <c r="H7" s="11">
        <f>E7/E6</f>
        <v>1.0046590427784838</v>
      </c>
    </row>
    <row r="8" spans="2:8" x14ac:dyDescent="0.4">
      <c r="D8" s="5">
        <v>6</v>
      </c>
      <c r="E8" s="1">
        <v>3713333333.333333</v>
      </c>
      <c r="F8" s="1">
        <v>653775360.67232001</v>
      </c>
      <c r="G8" s="1">
        <v>38</v>
      </c>
      <c r="H8" s="11">
        <f>E8/E6</f>
        <v>0.94366793731469711</v>
      </c>
    </row>
    <row r="9" spans="2:8" x14ac:dyDescent="0.4">
      <c r="D9" s="5"/>
      <c r="H9" s="11"/>
    </row>
    <row r="10" spans="2:8" x14ac:dyDescent="0.4">
      <c r="D10" s="5" t="s">
        <v>16</v>
      </c>
      <c r="E10" s="1" t="s">
        <v>2</v>
      </c>
      <c r="F10" s="1" t="s">
        <v>3</v>
      </c>
      <c r="G10" s="1" t="s">
        <v>4</v>
      </c>
      <c r="H10" s="11" t="s">
        <v>5</v>
      </c>
    </row>
    <row r="11" spans="2:8" x14ac:dyDescent="0.4">
      <c r="D11" s="5">
        <v>0</v>
      </c>
      <c r="E11" s="1">
        <v>1814000</v>
      </c>
      <c r="F11" s="1">
        <v>500975.04927890375</v>
      </c>
      <c r="G11" s="1">
        <v>0</v>
      </c>
      <c r="H11" s="11"/>
    </row>
    <row r="12" spans="2:8" x14ac:dyDescent="0.4">
      <c r="D12" s="5">
        <v>1</v>
      </c>
      <c r="E12" s="1">
        <v>1455000</v>
      </c>
      <c r="F12" s="1">
        <v>603959.15976717055</v>
      </c>
      <c r="G12" s="1">
        <v>1.6666666666666666E-2</v>
      </c>
      <c r="H12" s="11"/>
    </row>
    <row r="13" spans="2:8" x14ac:dyDescent="0.4">
      <c r="D13" s="5">
        <v>2</v>
      </c>
      <c r="E13" s="1">
        <v>2133333.333333333</v>
      </c>
      <c r="F13" s="1">
        <v>534249.21359064465</v>
      </c>
      <c r="G13" s="1">
        <v>0.5</v>
      </c>
      <c r="H13" s="11">
        <f>E13/E11</f>
        <v>1.1760382212421903</v>
      </c>
    </row>
    <row r="14" spans="2:8" x14ac:dyDescent="0.4">
      <c r="D14" s="5">
        <v>3</v>
      </c>
      <c r="E14" s="1">
        <v>322000000</v>
      </c>
      <c r="F14" s="1">
        <v>26474306.202219706</v>
      </c>
      <c r="G14" s="1">
        <v>4</v>
      </c>
      <c r="H14" s="11"/>
    </row>
    <row r="15" spans="2:8" x14ac:dyDescent="0.4">
      <c r="D15" s="5">
        <v>4</v>
      </c>
      <c r="E15" s="1">
        <v>3740000000</v>
      </c>
      <c r="F15" s="1">
        <v>485798312.05964476</v>
      </c>
      <c r="G15" s="1">
        <v>37.5</v>
      </c>
      <c r="H15" s="11"/>
    </row>
    <row r="16" spans="2:8" x14ac:dyDescent="0.4">
      <c r="D16" s="5">
        <v>5</v>
      </c>
      <c r="E16" s="1">
        <v>3546666666.6666665</v>
      </c>
      <c r="F16" s="1">
        <v>690957467.73750281</v>
      </c>
      <c r="G16" s="1">
        <v>38</v>
      </c>
      <c r="H16" s="11">
        <f>E16/E15</f>
        <v>0.94830659536541884</v>
      </c>
    </row>
    <row r="17" spans="4:8" x14ac:dyDescent="0.4">
      <c r="D17" s="5">
        <v>6</v>
      </c>
      <c r="E17" s="1">
        <v>2868000000</v>
      </c>
      <c r="F17" s="1">
        <v>426970724.99177265</v>
      </c>
      <c r="G17" s="1">
        <v>38</v>
      </c>
      <c r="H17" s="11">
        <f>E17/E15</f>
        <v>0.76684491978609626</v>
      </c>
    </row>
    <row r="18" spans="4:8" x14ac:dyDescent="0.4">
      <c r="D18" s="5"/>
      <c r="H18" s="11"/>
    </row>
    <row r="19" spans="4:8" x14ac:dyDescent="0.4">
      <c r="D19" s="5" t="s">
        <v>19</v>
      </c>
      <c r="E19" s="1" t="s">
        <v>2</v>
      </c>
      <c r="F19" s="1" t="s">
        <v>3</v>
      </c>
      <c r="G19" s="1" t="s">
        <v>4</v>
      </c>
      <c r="H19" s="11" t="s">
        <v>5</v>
      </c>
    </row>
    <row r="20" spans="4:8" x14ac:dyDescent="0.4">
      <c r="D20" s="5">
        <v>0</v>
      </c>
      <c r="E20" s="1">
        <v>1814000</v>
      </c>
      <c r="F20" s="1">
        <v>500975.04927890375</v>
      </c>
      <c r="G20" s="1">
        <v>0</v>
      </c>
      <c r="H20" s="11"/>
    </row>
    <row r="21" spans="4:8" x14ac:dyDescent="0.4">
      <c r="D21" s="5">
        <v>1</v>
      </c>
      <c r="E21" s="1">
        <v>1240000</v>
      </c>
      <c r="F21" s="1">
        <v>191311.26469708988</v>
      </c>
      <c r="G21" s="1">
        <v>1.6666666666666666E-2</v>
      </c>
      <c r="H21" s="11"/>
    </row>
    <row r="22" spans="4:8" x14ac:dyDescent="0.4">
      <c r="D22" s="5">
        <v>2</v>
      </c>
      <c r="E22" s="1">
        <v>1660000</v>
      </c>
      <c r="F22" s="1">
        <v>274954.54169735039</v>
      </c>
      <c r="G22" s="1">
        <v>0.5</v>
      </c>
      <c r="H22" s="11">
        <f>E22/E20</f>
        <v>0.91510474090407934</v>
      </c>
    </row>
    <row r="23" spans="4:8" x14ac:dyDescent="0.4">
      <c r="D23" s="5">
        <v>3</v>
      </c>
      <c r="E23" s="1">
        <v>278666666.66666663</v>
      </c>
      <c r="F23" s="1">
        <v>12256517.540566824</v>
      </c>
      <c r="G23" s="1">
        <v>4</v>
      </c>
      <c r="H23" s="11"/>
    </row>
    <row r="24" spans="4:8" x14ac:dyDescent="0.4">
      <c r="D24" s="5">
        <v>4</v>
      </c>
      <c r="E24" s="1">
        <v>3542500000</v>
      </c>
      <c r="F24" s="1">
        <v>564867241.03987479</v>
      </c>
      <c r="G24" s="1">
        <v>37.5</v>
      </c>
      <c r="H24" s="11"/>
    </row>
    <row r="25" spans="4:8" x14ac:dyDescent="0.4">
      <c r="D25" s="5">
        <v>5</v>
      </c>
      <c r="E25" s="1">
        <v>3395000000</v>
      </c>
      <c r="F25" s="1">
        <v>753724087.44845092</v>
      </c>
      <c r="G25" s="1">
        <v>38</v>
      </c>
      <c r="H25" s="11">
        <f>E25/E24</f>
        <v>0.95836273817925199</v>
      </c>
    </row>
    <row r="26" spans="4:8" ht="14.25" thickBot="1" x14ac:dyDescent="0.45">
      <c r="D26" s="7">
        <v>6</v>
      </c>
      <c r="E26" s="8">
        <v>3282500000</v>
      </c>
      <c r="F26" s="8">
        <v>359130895.35711068</v>
      </c>
      <c r="G26" s="8">
        <v>38</v>
      </c>
      <c r="H26" s="12">
        <f>E26/E24</f>
        <v>0.92660550458715596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69B7-E29A-4E29-A7C3-611880D41FC8}">
  <dimension ref="B1:R66"/>
  <sheetViews>
    <sheetView tabSelected="1" zoomScale="55" zoomScaleNormal="55" workbookViewId="0">
      <selection activeCell="H26" sqref="H26"/>
    </sheetView>
  </sheetViews>
  <sheetFormatPr defaultRowHeight="15" x14ac:dyDescent="0.45"/>
  <cols>
    <col min="2" max="2" width="22.78515625" bestFit="1" customWidth="1"/>
    <col min="3" max="3" width="13.2109375" bestFit="1" customWidth="1"/>
    <col min="4" max="4" width="24.35546875" bestFit="1" customWidth="1"/>
    <col min="5" max="5" width="5.640625" bestFit="1" customWidth="1"/>
    <col min="6" max="6" width="19.7109375" bestFit="1" customWidth="1"/>
    <col min="8" max="8" width="22.78515625" bestFit="1" customWidth="1"/>
    <col min="9" max="9" width="13.2109375" bestFit="1" customWidth="1"/>
    <col min="10" max="10" width="24.35546875" bestFit="1" customWidth="1"/>
    <col min="11" max="11" width="13.2109375" bestFit="1" customWidth="1"/>
    <col min="12" max="12" width="19.7109375" bestFit="1" customWidth="1"/>
    <col min="14" max="14" width="22.78515625" bestFit="1" customWidth="1"/>
    <col min="15" max="15" width="13.2109375" bestFit="1" customWidth="1"/>
    <col min="16" max="16" width="24.35546875" bestFit="1" customWidth="1"/>
    <col min="17" max="17" width="13.2109375" bestFit="1" customWidth="1"/>
    <col min="18" max="18" width="19.7109375" bestFit="1" customWidth="1"/>
  </cols>
  <sheetData>
    <row r="1" spans="2:18" ht="15.4" thickBot="1" x14ac:dyDescent="0.5"/>
    <row r="2" spans="2:18" x14ac:dyDescent="0.45">
      <c r="B2" s="2"/>
      <c r="C2" s="3" t="s">
        <v>6</v>
      </c>
      <c r="D2" s="3" t="s">
        <v>7</v>
      </c>
      <c r="E2" s="3" t="s">
        <v>6</v>
      </c>
      <c r="F2" s="4" t="s">
        <v>7</v>
      </c>
      <c r="G2" s="1"/>
      <c r="H2" s="2"/>
      <c r="I2" s="3" t="s">
        <v>6</v>
      </c>
      <c r="J2" s="3" t="s">
        <v>7</v>
      </c>
      <c r="K2" s="3" t="s">
        <v>6</v>
      </c>
      <c r="L2" s="4" t="s">
        <v>7</v>
      </c>
      <c r="M2" s="1"/>
      <c r="N2" s="2"/>
      <c r="O2" s="3" t="s">
        <v>6</v>
      </c>
      <c r="P2" s="3" t="s">
        <v>7</v>
      </c>
      <c r="Q2" s="3" t="s">
        <v>6</v>
      </c>
      <c r="R2" s="4" t="s">
        <v>7</v>
      </c>
    </row>
    <row r="3" spans="2:18" x14ac:dyDescent="0.45">
      <c r="B3" s="5" t="s">
        <v>8</v>
      </c>
      <c r="C3" s="1">
        <v>122</v>
      </c>
      <c r="D3" s="1">
        <v>2440000</v>
      </c>
      <c r="E3" s="1">
        <v>3</v>
      </c>
      <c r="F3" s="6">
        <v>600000</v>
      </c>
      <c r="G3" s="1"/>
      <c r="H3" s="5" t="s">
        <v>8</v>
      </c>
      <c r="I3" s="1">
        <v>83</v>
      </c>
      <c r="J3" s="1">
        <v>1660000</v>
      </c>
      <c r="K3" s="1">
        <v>7</v>
      </c>
      <c r="L3" s="6">
        <v>1400000</v>
      </c>
      <c r="M3" s="1"/>
      <c r="N3" s="5" t="s">
        <v>8</v>
      </c>
      <c r="O3" s="1">
        <v>68</v>
      </c>
      <c r="P3" s="1">
        <v>1360000</v>
      </c>
      <c r="Q3" s="1">
        <v>5</v>
      </c>
      <c r="R3" s="6">
        <v>1000000</v>
      </c>
    </row>
    <row r="4" spans="2:18" x14ac:dyDescent="0.45">
      <c r="B4" s="5" t="s">
        <v>9</v>
      </c>
      <c r="C4" s="1">
        <v>119</v>
      </c>
      <c r="D4" s="1">
        <v>2380000</v>
      </c>
      <c r="E4" s="1">
        <v>10</v>
      </c>
      <c r="F4" s="6">
        <v>2000000</v>
      </c>
      <c r="G4" s="1"/>
      <c r="H4" s="5" t="s">
        <v>9</v>
      </c>
      <c r="I4" s="1">
        <v>76</v>
      </c>
      <c r="J4" s="1">
        <v>1520000</v>
      </c>
      <c r="K4" s="1">
        <v>9</v>
      </c>
      <c r="L4" s="6">
        <v>1800000</v>
      </c>
      <c r="M4" s="1"/>
      <c r="N4" s="5" t="s">
        <v>9</v>
      </c>
      <c r="O4" s="1">
        <v>66</v>
      </c>
      <c r="P4" s="1">
        <v>1320000</v>
      </c>
      <c r="Q4" s="1">
        <v>4</v>
      </c>
      <c r="R4" s="6">
        <v>800000</v>
      </c>
    </row>
    <row r="5" spans="2:18" x14ac:dyDescent="0.45">
      <c r="B5" s="5" t="s">
        <v>10</v>
      </c>
      <c r="C5" s="1">
        <v>122</v>
      </c>
      <c r="D5" s="1">
        <v>2440000</v>
      </c>
      <c r="E5" s="1">
        <v>4</v>
      </c>
      <c r="F5" s="6">
        <v>800000</v>
      </c>
      <c r="G5" s="1"/>
      <c r="H5" s="5" t="s">
        <v>10</v>
      </c>
      <c r="I5" s="1">
        <v>94</v>
      </c>
      <c r="J5" s="1">
        <v>1880000</v>
      </c>
      <c r="K5" s="1">
        <v>2</v>
      </c>
      <c r="L5" s="6">
        <v>400000</v>
      </c>
      <c r="M5" s="1"/>
      <c r="N5" s="5" t="s">
        <v>10</v>
      </c>
      <c r="O5" s="1">
        <v>83</v>
      </c>
      <c r="P5" s="1">
        <v>1660000</v>
      </c>
      <c r="Q5" s="1">
        <v>5</v>
      </c>
      <c r="R5" s="6">
        <v>1000000</v>
      </c>
    </row>
    <row r="6" spans="2:18" x14ac:dyDescent="0.45">
      <c r="B6" s="5" t="s">
        <v>11</v>
      </c>
      <c r="C6" s="1">
        <v>129</v>
      </c>
      <c r="D6" s="1">
        <v>2580000</v>
      </c>
      <c r="E6" s="1">
        <v>7</v>
      </c>
      <c r="F6" s="6">
        <v>1400000</v>
      </c>
      <c r="G6" s="1"/>
      <c r="H6" s="5" t="s">
        <v>11</v>
      </c>
      <c r="I6" s="1">
        <v>89</v>
      </c>
      <c r="J6" s="1">
        <v>1780000</v>
      </c>
      <c r="K6" s="1"/>
      <c r="L6" s="6" t="s">
        <v>12</v>
      </c>
      <c r="M6" s="1"/>
      <c r="N6" s="5" t="s">
        <v>11</v>
      </c>
      <c r="O6" s="1">
        <v>79</v>
      </c>
      <c r="P6" s="1">
        <v>1580000</v>
      </c>
      <c r="Q6" s="1">
        <v>5</v>
      </c>
      <c r="R6" s="6">
        <v>1000000</v>
      </c>
    </row>
    <row r="7" spans="2:18" x14ac:dyDescent="0.45">
      <c r="B7" s="5" t="s">
        <v>13</v>
      </c>
      <c r="C7" s="1">
        <v>125</v>
      </c>
      <c r="D7" s="1">
        <v>2500000</v>
      </c>
      <c r="E7" s="1">
        <v>5</v>
      </c>
      <c r="F7" s="6">
        <v>1000000</v>
      </c>
      <c r="G7" s="1"/>
      <c r="H7" s="5" t="s">
        <v>13</v>
      </c>
      <c r="I7" s="1"/>
      <c r="J7" s="1" t="s">
        <v>12</v>
      </c>
      <c r="K7" s="1"/>
      <c r="L7" s="6" t="s">
        <v>12</v>
      </c>
      <c r="M7" s="1"/>
      <c r="N7" s="5" t="s">
        <v>13</v>
      </c>
      <c r="O7" s="1"/>
      <c r="P7" s="1" t="s">
        <v>12</v>
      </c>
      <c r="Q7" s="1">
        <v>6</v>
      </c>
      <c r="R7" s="6">
        <v>1200000</v>
      </c>
    </row>
    <row r="8" spans="2:18" x14ac:dyDescent="0.45">
      <c r="B8" s="5" t="s">
        <v>14</v>
      </c>
      <c r="C8" s="1">
        <v>3</v>
      </c>
      <c r="D8" s="1"/>
      <c r="E8" s="1">
        <v>4</v>
      </c>
      <c r="F8" s="6"/>
      <c r="G8" s="1"/>
      <c r="H8" s="5" t="s">
        <v>14</v>
      </c>
      <c r="I8" s="1">
        <v>3</v>
      </c>
      <c r="J8" s="1"/>
      <c r="K8" s="1">
        <v>4</v>
      </c>
      <c r="L8" s="6"/>
      <c r="M8" s="1"/>
      <c r="N8" s="5" t="s">
        <v>14</v>
      </c>
      <c r="O8" s="1">
        <v>3</v>
      </c>
      <c r="P8" s="1"/>
      <c r="Q8" s="1">
        <v>4</v>
      </c>
      <c r="R8" s="6"/>
    </row>
    <row r="9" spans="2:18" x14ac:dyDescent="0.45">
      <c r="B9" s="5" t="s">
        <v>15</v>
      </c>
      <c r="C9" s="1">
        <v>5</v>
      </c>
      <c r="D9" s="1"/>
      <c r="E9" s="1">
        <v>5</v>
      </c>
      <c r="F9" s="6"/>
      <c r="G9" s="1"/>
      <c r="H9" s="5" t="s">
        <v>15</v>
      </c>
      <c r="I9" s="1">
        <v>5</v>
      </c>
      <c r="J9" s="1"/>
      <c r="K9" s="1">
        <v>5</v>
      </c>
      <c r="L9" s="6"/>
      <c r="M9" s="1"/>
      <c r="N9" s="5" t="s">
        <v>15</v>
      </c>
      <c r="O9" s="1">
        <v>5</v>
      </c>
      <c r="P9" s="1"/>
      <c r="Q9" s="1">
        <v>5</v>
      </c>
      <c r="R9" s="6"/>
    </row>
    <row r="10" spans="2:18" x14ac:dyDescent="0.45">
      <c r="B10" s="5" t="s">
        <v>17</v>
      </c>
      <c r="C10" s="1">
        <v>500975.04927890375</v>
      </c>
      <c r="D10" s="1" t="s">
        <v>4</v>
      </c>
      <c r="E10" s="1">
        <v>0</v>
      </c>
      <c r="F10" s="6"/>
      <c r="G10" s="1"/>
      <c r="H10" s="5" t="s">
        <v>17</v>
      </c>
      <c r="I10" s="1">
        <v>603959.15976717055</v>
      </c>
      <c r="J10" s="1" t="s">
        <v>4</v>
      </c>
      <c r="K10" s="1">
        <v>1.6666666666666666E-2</v>
      </c>
      <c r="L10" s="6"/>
      <c r="M10" s="1"/>
      <c r="N10" s="5" t="s">
        <v>17</v>
      </c>
      <c r="O10" s="1">
        <v>191311.26469708988</v>
      </c>
      <c r="P10" s="1" t="s">
        <v>4</v>
      </c>
      <c r="Q10" s="1">
        <v>1.6666666666666666E-2</v>
      </c>
      <c r="R10" s="6"/>
    </row>
    <row r="11" spans="2:18" ht="15.4" thickBot="1" x14ac:dyDescent="0.5">
      <c r="B11" s="7" t="s">
        <v>18</v>
      </c>
      <c r="C11" s="8">
        <v>1814000</v>
      </c>
      <c r="D11" s="8" t="s">
        <v>21</v>
      </c>
      <c r="E11" s="8">
        <v>0</v>
      </c>
      <c r="F11" s="9"/>
      <c r="G11" s="1"/>
      <c r="H11" s="7" t="s">
        <v>18</v>
      </c>
      <c r="I11" s="8">
        <v>1455000</v>
      </c>
      <c r="J11" s="8" t="s">
        <v>21</v>
      </c>
      <c r="K11" s="8">
        <v>25</v>
      </c>
      <c r="L11" s="9"/>
      <c r="M11" s="1"/>
      <c r="N11" s="7" t="s">
        <v>18</v>
      </c>
      <c r="O11" s="8">
        <v>1240000</v>
      </c>
      <c r="P11" s="8" t="s">
        <v>21</v>
      </c>
      <c r="Q11" s="8">
        <v>50</v>
      </c>
      <c r="R11" s="9"/>
    </row>
    <row r="12" spans="2:18" ht="15.4" thickBot="1" x14ac:dyDescent="0.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x14ac:dyDescent="0.45">
      <c r="B13" s="2"/>
      <c r="C13" s="3" t="s">
        <v>6</v>
      </c>
      <c r="D13" s="3" t="s">
        <v>7</v>
      </c>
      <c r="E13" s="3" t="s">
        <v>6</v>
      </c>
      <c r="F13" s="4" t="s">
        <v>7</v>
      </c>
      <c r="G13" s="1"/>
      <c r="H13" s="2"/>
      <c r="I13" s="3" t="s">
        <v>6</v>
      </c>
      <c r="J13" s="3" t="s">
        <v>7</v>
      </c>
      <c r="K13" s="3" t="s">
        <v>6</v>
      </c>
      <c r="L13" s="4" t="s">
        <v>7</v>
      </c>
      <c r="M13" s="1"/>
      <c r="N13" s="2"/>
      <c r="O13" s="3" t="s">
        <v>6</v>
      </c>
      <c r="P13" s="3" t="s">
        <v>7</v>
      </c>
      <c r="Q13" s="3" t="s">
        <v>6</v>
      </c>
      <c r="R13" s="4" t="s">
        <v>7</v>
      </c>
    </row>
    <row r="14" spans="2:18" x14ac:dyDescent="0.45">
      <c r="B14" s="5" t="s">
        <v>8</v>
      </c>
      <c r="C14" s="1">
        <v>205</v>
      </c>
      <c r="D14" s="1">
        <v>4100000</v>
      </c>
      <c r="E14" s="1">
        <v>26</v>
      </c>
      <c r="F14" s="6">
        <v>5200000</v>
      </c>
      <c r="G14" s="1"/>
      <c r="H14" s="5" t="s">
        <v>8</v>
      </c>
      <c r="I14" s="1">
        <v>109</v>
      </c>
      <c r="J14" s="1">
        <v>2180000</v>
      </c>
      <c r="K14" s="1">
        <v>6</v>
      </c>
      <c r="L14" s="6">
        <v>1200000</v>
      </c>
      <c r="M14" s="1"/>
      <c r="N14" s="5" t="s">
        <v>8</v>
      </c>
      <c r="O14" s="1">
        <v>74</v>
      </c>
      <c r="P14" s="1">
        <v>1480000</v>
      </c>
      <c r="Q14" s="1">
        <v>7</v>
      </c>
      <c r="R14" s="6">
        <v>1400000</v>
      </c>
    </row>
    <row r="15" spans="2:18" x14ac:dyDescent="0.45">
      <c r="B15" s="5" t="s">
        <v>9</v>
      </c>
      <c r="C15" s="1">
        <v>198</v>
      </c>
      <c r="D15" s="1">
        <v>3960000</v>
      </c>
      <c r="E15" s="1">
        <v>20</v>
      </c>
      <c r="F15" s="6">
        <v>4000000</v>
      </c>
      <c r="G15" s="1"/>
      <c r="H15" s="5" t="s">
        <v>9</v>
      </c>
      <c r="I15" s="1">
        <v>98</v>
      </c>
      <c r="J15" s="1">
        <v>1960000</v>
      </c>
      <c r="K15" s="1">
        <v>10</v>
      </c>
      <c r="L15" s="6">
        <v>2000000</v>
      </c>
      <c r="M15" s="1"/>
      <c r="N15" s="5" t="s">
        <v>9</v>
      </c>
      <c r="O15" s="1">
        <v>94</v>
      </c>
      <c r="P15" s="1">
        <v>1880000</v>
      </c>
      <c r="Q15" s="1">
        <v>8</v>
      </c>
      <c r="R15" s="6">
        <v>1600000</v>
      </c>
    </row>
    <row r="16" spans="2:18" x14ac:dyDescent="0.45">
      <c r="B16" s="5" t="s">
        <v>10</v>
      </c>
      <c r="C16" s="1">
        <v>195</v>
      </c>
      <c r="D16" s="1">
        <v>3900000</v>
      </c>
      <c r="E16" s="1">
        <v>23</v>
      </c>
      <c r="F16" s="6">
        <v>4600000</v>
      </c>
      <c r="G16" s="1"/>
      <c r="H16" s="5" t="s">
        <v>10</v>
      </c>
      <c r="I16" s="1">
        <v>115</v>
      </c>
      <c r="J16" s="1">
        <v>2300000</v>
      </c>
      <c r="K16" s="1">
        <v>11</v>
      </c>
      <c r="L16" s="6">
        <v>2200000</v>
      </c>
      <c r="M16" s="1"/>
      <c r="N16" s="5" t="s">
        <v>10</v>
      </c>
      <c r="O16" s="1">
        <v>103</v>
      </c>
      <c r="P16" s="1">
        <v>2060000</v>
      </c>
      <c r="Q16" s="1">
        <v>7</v>
      </c>
      <c r="R16" s="6">
        <v>1400000</v>
      </c>
    </row>
    <row r="17" spans="2:18" x14ac:dyDescent="0.45">
      <c r="B17" s="5" t="s">
        <v>11</v>
      </c>
      <c r="C17" s="1">
        <v>205</v>
      </c>
      <c r="D17" s="1">
        <v>4100000</v>
      </c>
      <c r="E17" s="1">
        <v>40</v>
      </c>
      <c r="F17" s="6">
        <v>8000000</v>
      </c>
      <c r="G17" s="1"/>
      <c r="H17" s="5" t="s">
        <v>11</v>
      </c>
      <c r="I17" s="1"/>
      <c r="J17" s="1" t="s">
        <v>12</v>
      </c>
      <c r="K17" s="1">
        <v>13</v>
      </c>
      <c r="L17" s="6">
        <v>2600000</v>
      </c>
      <c r="M17" s="1"/>
      <c r="N17" s="5" t="s">
        <v>11</v>
      </c>
      <c r="O17" s="1">
        <v>83</v>
      </c>
      <c r="P17" s="1">
        <v>1660000</v>
      </c>
      <c r="Q17" s="1">
        <v>9</v>
      </c>
      <c r="R17" s="6">
        <v>1800000</v>
      </c>
    </row>
    <row r="18" spans="2:18" x14ac:dyDescent="0.45">
      <c r="B18" s="5" t="s">
        <v>13</v>
      </c>
      <c r="C18" s="1">
        <v>195</v>
      </c>
      <c r="D18" s="1">
        <v>3900000</v>
      </c>
      <c r="E18" s="1">
        <v>20</v>
      </c>
      <c r="F18" s="6">
        <v>4000000</v>
      </c>
      <c r="G18" s="1"/>
      <c r="H18" s="5" t="s">
        <v>13</v>
      </c>
      <c r="I18" s="1"/>
      <c r="J18" s="1" t="s">
        <v>12</v>
      </c>
      <c r="K18" s="1">
        <v>13</v>
      </c>
      <c r="L18" s="6">
        <v>2600000</v>
      </c>
      <c r="M18" s="1"/>
      <c r="N18" s="5" t="s">
        <v>13</v>
      </c>
      <c r="O18" s="1"/>
      <c r="P18" s="1" t="s">
        <v>12</v>
      </c>
      <c r="Q18" s="1"/>
      <c r="R18" s="6" t="s">
        <v>12</v>
      </c>
    </row>
    <row r="19" spans="2:18" x14ac:dyDescent="0.45">
      <c r="B19" s="5" t="s">
        <v>14</v>
      </c>
      <c r="C19" s="1">
        <v>3</v>
      </c>
      <c r="D19" s="1"/>
      <c r="E19" s="1">
        <v>4</v>
      </c>
      <c r="F19" s="6"/>
      <c r="G19" s="1"/>
      <c r="H19" s="5" t="s">
        <v>14</v>
      </c>
      <c r="I19" s="1">
        <v>3</v>
      </c>
      <c r="J19" s="1"/>
      <c r="K19" s="1">
        <v>4</v>
      </c>
      <c r="L19" s="6"/>
      <c r="M19" s="1"/>
      <c r="N19" s="5" t="s">
        <v>14</v>
      </c>
      <c r="O19" s="1">
        <v>3</v>
      </c>
      <c r="P19" s="1"/>
      <c r="Q19" s="1">
        <v>4</v>
      </c>
      <c r="R19" s="6"/>
    </row>
    <row r="20" spans="2:18" x14ac:dyDescent="0.45">
      <c r="B20" s="5" t="s">
        <v>15</v>
      </c>
      <c r="C20" s="1">
        <v>5</v>
      </c>
      <c r="D20" s="1"/>
      <c r="E20" s="1">
        <v>5</v>
      </c>
      <c r="F20" s="6"/>
      <c r="G20" s="1"/>
      <c r="H20" s="5" t="s">
        <v>15</v>
      </c>
      <c r="I20" s="1">
        <v>5</v>
      </c>
      <c r="J20" s="1"/>
      <c r="K20" s="1">
        <v>5</v>
      </c>
      <c r="L20" s="6"/>
      <c r="M20" s="1"/>
      <c r="N20" s="5" t="s">
        <v>15</v>
      </c>
      <c r="O20" s="1">
        <v>5</v>
      </c>
      <c r="P20" s="1"/>
      <c r="Q20" s="1">
        <v>5</v>
      </c>
      <c r="R20" s="6"/>
    </row>
    <row r="21" spans="2:18" x14ac:dyDescent="0.45">
      <c r="B21" s="5" t="s">
        <v>17</v>
      </c>
      <c r="C21" s="1">
        <v>1490857.4713902064</v>
      </c>
      <c r="D21" s="1" t="s">
        <v>4</v>
      </c>
      <c r="E21" s="1">
        <v>0.5</v>
      </c>
      <c r="F21" s="6"/>
      <c r="G21" s="1"/>
      <c r="H21" s="5" t="s">
        <v>17</v>
      </c>
      <c r="I21" s="1">
        <v>534249.21359064465</v>
      </c>
      <c r="J21" s="1" t="s">
        <v>4</v>
      </c>
      <c r="K21" s="1">
        <v>0.5</v>
      </c>
      <c r="L21" s="6"/>
      <c r="M21" s="1"/>
      <c r="N21" s="5" t="s">
        <v>17</v>
      </c>
      <c r="O21" s="1">
        <v>274954.54169735039</v>
      </c>
      <c r="P21" s="1" t="s">
        <v>4</v>
      </c>
      <c r="Q21" s="1">
        <v>0.5</v>
      </c>
      <c r="R21" s="6"/>
    </row>
    <row r="22" spans="2:18" ht="15.4" thickBot="1" x14ac:dyDescent="0.5">
      <c r="B22" s="7" t="s">
        <v>18</v>
      </c>
      <c r="C22" s="8">
        <v>4576000</v>
      </c>
      <c r="D22" s="8" t="s">
        <v>21</v>
      </c>
      <c r="E22" s="8">
        <v>0</v>
      </c>
      <c r="F22" s="9"/>
      <c r="G22" s="1"/>
      <c r="H22" s="7" t="s">
        <v>18</v>
      </c>
      <c r="I22" s="8">
        <v>2133333.333333333</v>
      </c>
      <c r="J22" s="8" t="s">
        <v>21</v>
      </c>
      <c r="K22" s="8">
        <v>25</v>
      </c>
      <c r="L22" s="9"/>
      <c r="M22" s="1"/>
      <c r="N22" s="7" t="s">
        <v>18</v>
      </c>
      <c r="O22" s="8">
        <v>1660000</v>
      </c>
      <c r="P22" s="8" t="s">
        <v>21</v>
      </c>
      <c r="Q22" s="8">
        <v>50</v>
      </c>
      <c r="R22" s="9"/>
    </row>
    <row r="23" spans="2:18" ht="15.4" thickBot="1" x14ac:dyDescent="0.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 x14ac:dyDescent="0.45">
      <c r="B24" s="2"/>
      <c r="C24" s="3" t="s">
        <v>6</v>
      </c>
      <c r="D24" s="3" t="s">
        <v>7</v>
      </c>
      <c r="E24" s="3" t="s">
        <v>6</v>
      </c>
      <c r="F24" s="4" t="s">
        <v>7</v>
      </c>
      <c r="G24" s="1"/>
      <c r="H24" s="2"/>
      <c r="I24" s="3" t="s">
        <v>6</v>
      </c>
      <c r="J24" s="3" t="s">
        <v>7</v>
      </c>
      <c r="K24" s="3" t="s">
        <v>6</v>
      </c>
      <c r="L24" s="4" t="s">
        <v>7</v>
      </c>
      <c r="M24" s="1"/>
      <c r="N24" s="2"/>
      <c r="O24" s="3" t="s">
        <v>6</v>
      </c>
      <c r="P24" s="3" t="s">
        <v>7</v>
      </c>
      <c r="Q24" s="3" t="s">
        <v>6</v>
      </c>
      <c r="R24" s="4" t="s">
        <v>7</v>
      </c>
    </row>
    <row r="25" spans="2:18" x14ac:dyDescent="0.45">
      <c r="B25" s="5" t="s">
        <v>8</v>
      </c>
      <c r="C25" s="1">
        <v>158</v>
      </c>
      <c r="D25" s="1">
        <v>316000000</v>
      </c>
      <c r="E25" s="1">
        <v>171</v>
      </c>
      <c r="F25" s="6">
        <v>342000000</v>
      </c>
      <c r="G25" s="1"/>
      <c r="H25" s="5" t="s">
        <v>8</v>
      </c>
      <c r="I25" s="1">
        <v>148</v>
      </c>
      <c r="J25" s="1">
        <v>296000000</v>
      </c>
      <c r="K25" s="1">
        <v>137</v>
      </c>
      <c r="L25" s="6">
        <v>274000000</v>
      </c>
      <c r="M25" s="1"/>
      <c r="N25" s="5" t="s">
        <v>8</v>
      </c>
      <c r="O25" s="1">
        <v>147</v>
      </c>
      <c r="P25" s="1">
        <v>294000000</v>
      </c>
      <c r="Q25" s="1">
        <v>126</v>
      </c>
      <c r="R25" s="6">
        <v>252000000</v>
      </c>
    </row>
    <row r="26" spans="2:18" x14ac:dyDescent="0.45">
      <c r="B26" s="5" t="s">
        <v>9</v>
      </c>
      <c r="C26" s="1">
        <v>161</v>
      </c>
      <c r="D26" s="1">
        <v>322000000</v>
      </c>
      <c r="E26" s="1">
        <v>185</v>
      </c>
      <c r="F26" s="6">
        <v>370000000</v>
      </c>
      <c r="G26" s="1"/>
      <c r="H26" s="5" t="s">
        <v>9</v>
      </c>
      <c r="I26" s="1">
        <v>174</v>
      </c>
      <c r="J26" s="1">
        <v>348000000</v>
      </c>
      <c r="K26" s="1">
        <v>133</v>
      </c>
      <c r="L26" s="6">
        <v>266000000</v>
      </c>
      <c r="M26" s="1"/>
      <c r="N26" s="5" t="s">
        <v>9</v>
      </c>
      <c r="O26" s="1">
        <v>144</v>
      </c>
      <c r="P26" s="1">
        <v>288000000</v>
      </c>
      <c r="Q26" s="1">
        <v>134</v>
      </c>
      <c r="R26" s="6">
        <v>268000000</v>
      </c>
    </row>
    <row r="27" spans="2:18" x14ac:dyDescent="0.45">
      <c r="B27" s="5" t="s">
        <v>10</v>
      </c>
      <c r="C27" s="1"/>
      <c r="D27" s="1" t="s">
        <v>12</v>
      </c>
      <c r="E27" s="1">
        <v>166</v>
      </c>
      <c r="F27" s="6">
        <v>332000000</v>
      </c>
      <c r="G27" s="1"/>
      <c r="H27" s="5" t="s">
        <v>10</v>
      </c>
      <c r="I27" s="1"/>
      <c r="J27" s="1" t="s">
        <v>12</v>
      </c>
      <c r="K27" s="1">
        <v>139</v>
      </c>
      <c r="L27" s="6">
        <v>278000000</v>
      </c>
      <c r="M27" s="1"/>
      <c r="N27" s="5" t="s">
        <v>10</v>
      </c>
      <c r="O27" s="1">
        <v>155</v>
      </c>
      <c r="P27" s="1">
        <v>310000000</v>
      </c>
      <c r="Q27" s="1"/>
      <c r="R27" s="6" t="s">
        <v>12</v>
      </c>
    </row>
    <row r="28" spans="2:18" x14ac:dyDescent="0.45">
      <c r="B28" s="5" t="s">
        <v>11</v>
      </c>
      <c r="C28" s="1"/>
      <c r="D28" s="1" t="s">
        <v>12</v>
      </c>
      <c r="E28" s="1"/>
      <c r="F28" s="6" t="s">
        <v>12</v>
      </c>
      <c r="G28" s="1"/>
      <c r="H28" s="5" t="s">
        <v>11</v>
      </c>
      <c r="I28" s="1"/>
      <c r="J28" s="1" t="s">
        <v>12</v>
      </c>
      <c r="K28" s="1"/>
      <c r="L28" s="6" t="s">
        <v>12</v>
      </c>
      <c r="M28" s="1"/>
      <c r="N28" s="5" t="s">
        <v>11</v>
      </c>
      <c r="O28" s="1"/>
      <c r="P28" s="1" t="s">
        <v>12</v>
      </c>
      <c r="Q28" s="1"/>
      <c r="R28" s="6" t="s">
        <v>12</v>
      </c>
    </row>
    <row r="29" spans="2:18" x14ac:dyDescent="0.45">
      <c r="B29" s="5" t="s">
        <v>13</v>
      </c>
      <c r="C29" s="1"/>
      <c r="D29" s="1" t="s">
        <v>12</v>
      </c>
      <c r="E29" s="1"/>
      <c r="F29" s="6" t="s">
        <v>12</v>
      </c>
      <c r="G29" s="1"/>
      <c r="H29" s="5" t="s">
        <v>13</v>
      </c>
      <c r="I29" s="1"/>
      <c r="J29" s="1" t="s">
        <v>12</v>
      </c>
      <c r="K29" s="1"/>
      <c r="L29" s="6" t="s">
        <v>12</v>
      </c>
      <c r="M29" s="1"/>
      <c r="N29" s="5" t="s">
        <v>13</v>
      </c>
      <c r="O29" s="1"/>
      <c r="P29" s="1" t="s">
        <v>12</v>
      </c>
      <c r="Q29" s="1"/>
      <c r="R29" s="6" t="s">
        <v>12</v>
      </c>
    </row>
    <row r="30" spans="2:18" x14ac:dyDescent="0.45">
      <c r="B30" s="5" t="s">
        <v>14</v>
      </c>
      <c r="C30" s="1">
        <v>4</v>
      </c>
      <c r="D30" s="1"/>
      <c r="E30" s="1">
        <v>4</v>
      </c>
      <c r="F30" s="6"/>
      <c r="G30" s="1"/>
      <c r="H30" s="5" t="s">
        <v>14</v>
      </c>
      <c r="I30" s="1">
        <v>4</v>
      </c>
      <c r="J30" s="1"/>
      <c r="K30" s="1">
        <v>4</v>
      </c>
      <c r="L30" s="6"/>
      <c r="M30" s="1"/>
      <c r="N30" s="5" t="s">
        <v>14</v>
      </c>
      <c r="O30" s="1">
        <v>4</v>
      </c>
      <c r="P30" s="1"/>
      <c r="Q30" s="1">
        <v>4</v>
      </c>
      <c r="R30" s="6"/>
    </row>
    <row r="31" spans="2:18" x14ac:dyDescent="0.45">
      <c r="B31" s="5" t="s">
        <v>15</v>
      </c>
      <c r="C31" s="1">
        <v>5</v>
      </c>
      <c r="D31" s="1"/>
      <c r="E31" s="1">
        <v>5</v>
      </c>
      <c r="F31" s="6"/>
      <c r="G31" s="1"/>
      <c r="H31" s="5" t="s">
        <v>15</v>
      </c>
      <c r="I31" s="1">
        <v>5</v>
      </c>
      <c r="J31" s="1"/>
      <c r="K31" s="1">
        <v>5</v>
      </c>
      <c r="L31" s="6"/>
      <c r="M31" s="1"/>
      <c r="N31" s="5" t="s">
        <v>15</v>
      </c>
      <c r="O31" s="1">
        <v>5</v>
      </c>
      <c r="P31" s="1"/>
      <c r="Q31" s="1">
        <v>5</v>
      </c>
      <c r="R31" s="6"/>
    </row>
    <row r="32" spans="2:18" x14ac:dyDescent="0.45">
      <c r="B32" s="5" t="s">
        <v>17</v>
      </c>
      <c r="C32" s="1">
        <v>16360521.589077368</v>
      </c>
      <c r="D32" s="1" t="s">
        <v>4</v>
      </c>
      <c r="E32" s="1">
        <v>4</v>
      </c>
      <c r="F32" s="6"/>
      <c r="G32" s="1"/>
      <c r="H32" s="5" t="s">
        <v>17</v>
      </c>
      <c r="I32" s="1">
        <v>26474306.202219706</v>
      </c>
      <c r="J32" s="1" t="s">
        <v>4</v>
      </c>
      <c r="K32" s="1">
        <v>4</v>
      </c>
      <c r="L32" s="6"/>
      <c r="M32" s="1"/>
      <c r="N32" s="5" t="s">
        <v>17</v>
      </c>
      <c r="O32" s="1">
        <v>12256517.540566824</v>
      </c>
      <c r="P32" s="1" t="s">
        <v>4</v>
      </c>
      <c r="Q32" s="1">
        <v>4</v>
      </c>
      <c r="R32" s="6"/>
    </row>
    <row r="33" spans="2:18" ht="15.4" thickBot="1" x14ac:dyDescent="0.5">
      <c r="B33" s="7" t="s">
        <v>18</v>
      </c>
      <c r="C33" s="8">
        <v>333500000</v>
      </c>
      <c r="D33" s="8" t="s">
        <v>21</v>
      </c>
      <c r="E33" s="8">
        <v>0</v>
      </c>
      <c r="F33" s="9"/>
      <c r="G33" s="1"/>
      <c r="H33" s="7" t="s">
        <v>18</v>
      </c>
      <c r="I33" s="8">
        <v>322000000</v>
      </c>
      <c r="J33" s="8" t="s">
        <v>21</v>
      </c>
      <c r="K33" s="8">
        <v>25</v>
      </c>
      <c r="L33" s="9"/>
      <c r="M33" s="1"/>
      <c r="N33" s="7" t="s">
        <v>18</v>
      </c>
      <c r="O33" s="8">
        <v>278666666.66666663</v>
      </c>
      <c r="P33" s="8" t="s">
        <v>21</v>
      </c>
      <c r="Q33" s="8">
        <v>50</v>
      </c>
      <c r="R33" s="9"/>
    </row>
    <row r="34" spans="2:18" ht="15.4" thickBot="1" x14ac:dyDescent="0.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x14ac:dyDescent="0.45">
      <c r="B35" s="2"/>
      <c r="C35" s="3" t="s">
        <v>6</v>
      </c>
      <c r="D35" s="3" t="s">
        <v>7</v>
      </c>
      <c r="E35" s="3" t="s">
        <v>6</v>
      </c>
      <c r="F35" s="4" t="s">
        <v>7</v>
      </c>
      <c r="G35" s="1"/>
      <c r="H35" s="2"/>
      <c r="I35" s="3" t="s">
        <v>6</v>
      </c>
      <c r="J35" s="3" t="s">
        <v>7</v>
      </c>
      <c r="K35" s="3" t="s">
        <v>6</v>
      </c>
      <c r="L35" s="4" t="s">
        <v>7</v>
      </c>
      <c r="M35" s="1"/>
      <c r="N35" s="2"/>
      <c r="O35" s="3" t="s">
        <v>6</v>
      </c>
      <c r="P35" s="3" t="s">
        <v>7</v>
      </c>
      <c r="Q35" s="3" t="s">
        <v>6</v>
      </c>
      <c r="R35" s="4" t="s">
        <v>7</v>
      </c>
    </row>
    <row r="36" spans="2:18" x14ac:dyDescent="0.45">
      <c r="B36" s="5" t="s">
        <v>8</v>
      </c>
      <c r="C36" s="1">
        <v>129</v>
      </c>
      <c r="D36" s="1">
        <v>2580000000</v>
      </c>
      <c r="E36" s="1">
        <v>25</v>
      </c>
      <c r="F36" s="6">
        <v>5000000000</v>
      </c>
      <c r="G36" s="1"/>
      <c r="H36" s="5" t="s">
        <v>8</v>
      </c>
      <c r="I36" s="1">
        <v>128</v>
      </c>
      <c r="J36" s="1">
        <v>2560000000</v>
      </c>
      <c r="K36" s="1">
        <v>21</v>
      </c>
      <c r="L36" s="6">
        <v>4200000000</v>
      </c>
      <c r="M36" s="1"/>
      <c r="N36" s="5" t="s">
        <v>8</v>
      </c>
      <c r="O36" s="1">
        <v>134</v>
      </c>
      <c r="P36" s="1">
        <v>2680000000</v>
      </c>
      <c r="Q36" s="1">
        <v>25</v>
      </c>
      <c r="R36" s="6">
        <v>5000000000</v>
      </c>
    </row>
    <row r="37" spans="2:18" x14ac:dyDescent="0.45">
      <c r="B37" s="5" t="s">
        <v>9</v>
      </c>
      <c r="C37" s="1">
        <v>131</v>
      </c>
      <c r="D37" s="1">
        <v>2620000000</v>
      </c>
      <c r="E37" s="1">
        <v>24</v>
      </c>
      <c r="F37" s="6">
        <v>4800000000</v>
      </c>
      <c r="G37" s="1"/>
      <c r="H37" s="5" t="s">
        <v>9</v>
      </c>
      <c r="I37" s="1">
        <v>125</v>
      </c>
      <c r="J37" s="1">
        <v>2500000000</v>
      </c>
      <c r="K37" s="1">
        <v>25</v>
      </c>
      <c r="L37" s="6">
        <v>5000000000</v>
      </c>
      <c r="M37" s="1"/>
      <c r="N37" s="5" t="s">
        <v>9</v>
      </c>
      <c r="O37" s="1">
        <v>129</v>
      </c>
      <c r="P37" s="1">
        <v>2580000000</v>
      </c>
      <c r="Q37" s="1">
        <v>20</v>
      </c>
      <c r="R37" s="6">
        <v>4000000000</v>
      </c>
    </row>
    <row r="38" spans="2:18" x14ac:dyDescent="0.45">
      <c r="B38" s="5" t="s">
        <v>10</v>
      </c>
      <c r="C38" s="1">
        <v>127</v>
      </c>
      <c r="D38" s="1">
        <v>2540000000</v>
      </c>
      <c r="E38" s="1">
        <v>29</v>
      </c>
      <c r="F38" s="6">
        <v>5800000000</v>
      </c>
      <c r="G38" s="1"/>
      <c r="H38" s="5" t="s">
        <v>10</v>
      </c>
      <c r="I38" s="1">
        <v>131</v>
      </c>
      <c r="J38" s="1">
        <v>2620000000</v>
      </c>
      <c r="K38" s="1">
        <v>28</v>
      </c>
      <c r="L38" s="6">
        <v>5600000000</v>
      </c>
      <c r="M38" s="1"/>
      <c r="N38" s="5" t="s">
        <v>10</v>
      </c>
      <c r="O38" s="1">
        <v>127</v>
      </c>
      <c r="P38" s="1">
        <v>2540000000</v>
      </c>
      <c r="Q38" s="1">
        <v>21</v>
      </c>
      <c r="R38" s="6">
        <v>4200000000</v>
      </c>
    </row>
    <row r="39" spans="2:18" x14ac:dyDescent="0.45">
      <c r="B39" s="5" t="s">
        <v>11</v>
      </c>
      <c r="C39" s="1">
        <v>127</v>
      </c>
      <c r="D39" s="1">
        <v>2540000000</v>
      </c>
      <c r="E39" s="1">
        <v>28</v>
      </c>
      <c r="F39" s="6">
        <v>5600000000</v>
      </c>
      <c r="G39" s="1"/>
      <c r="H39" s="5" t="s">
        <v>11</v>
      </c>
      <c r="I39" s="1"/>
      <c r="J39" s="1" t="s">
        <v>12</v>
      </c>
      <c r="K39" s="1">
        <v>26</v>
      </c>
      <c r="L39" s="6">
        <v>5200000000</v>
      </c>
      <c r="M39" s="1"/>
      <c r="N39" s="5" t="s">
        <v>11</v>
      </c>
      <c r="O39" s="1">
        <v>139</v>
      </c>
      <c r="P39" s="1">
        <v>2780000000</v>
      </c>
      <c r="Q39" s="1">
        <v>19</v>
      </c>
      <c r="R39" s="6">
        <v>3800000000</v>
      </c>
    </row>
    <row r="40" spans="2:18" x14ac:dyDescent="0.45">
      <c r="B40" s="5" t="s">
        <v>13</v>
      </c>
      <c r="C40" s="1"/>
      <c r="D40" s="1" t="s">
        <v>12</v>
      </c>
      <c r="E40" s="1"/>
      <c r="F40" s="6" t="s">
        <v>12</v>
      </c>
      <c r="G40" s="1"/>
      <c r="H40" s="5" t="s">
        <v>13</v>
      </c>
      <c r="I40" s="1"/>
      <c r="J40" s="1" t="s">
        <v>12</v>
      </c>
      <c r="K40" s="1">
        <v>23</v>
      </c>
      <c r="L40" s="6">
        <v>4600000000</v>
      </c>
      <c r="M40" s="1"/>
      <c r="N40" s="5" t="s">
        <v>13</v>
      </c>
      <c r="O40" s="1"/>
      <c r="P40" s="1" t="s">
        <v>12</v>
      </c>
      <c r="Q40" s="1">
        <v>26</v>
      </c>
      <c r="R40" s="6">
        <v>5200000000</v>
      </c>
    </row>
    <row r="41" spans="2:18" x14ac:dyDescent="0.45">
      <c r="B41" s="5" t="s">
        <v>14</v>
      </c>
      <c r="C41" s="1">
        <v>5</v>
      </c>
      <c r="D41" s="1"/>
      <c r="E41" s="1">
        <v>6</v>
      </c>
      <c r="F41" s="6"/>
      <c r="G41" s="1"/>
      <c r="H41" s="5" t="s">
        <v>14</v>
      </c>
      <c r="I41" s="1">
        <v>5</v>
      </c>
      <c r="J41" s="1"/>
      <c r="K41" s="1">
        <v>6</v>
      </c>
      <c r="L41" s="6"/>
      <c r="M41" s="1"/>
      <c r="N41" s="5" t="s">
        <v>14</v>
      </c>
      <c r="O41" s="1">
        <v>5</v>
      </c>
      <c r="P41" s="1"/>
      <c r="Q41" s="1">
        <v>6</v>
      </c>
      <c r="R41" s="6"/>
    </row>
    <row r="42" spans="2:18" x14ac:dyDescent="0.45">
      <c r="B42" s="5" t="s">
        <v>15</v>
      </c>
      <c r="C42" s="1">
        <v>5</v>
      </c>
      <c r="D42" s="1"/>
      <c r="E42" s="1">
        <v>5</v>
      </c>
      <c r="F42" s="6"/>
      <c r="G42" s="1"/>
      <c r="H42" s="5" t="s">
        <v>15</v>
      </c>
      <c r="I42" s="1">
        <v>5</v>
      </c>
      <c r="J42" s="1"/>
      <c r="K42" s="1">
        <v>5</v>
      </c>
      <c r="L42" s="6"/>
      <c r="M42" s="1"/>
      <c r="N42" s="5" t="s">
        <v>15</v>
      </c>
      <c r="O42" s="1">
        <v>5</v>
      </c>
      <c r="P42" s="1"/>
      <c r="Q42" s="1">
        <v>5</v>
      </c>
      <c r="R42" s="6"/>
    </row>
    <row r="43" spans="2:18" x14ac:dyDescent="0.45">
      <c r="B43" s="5" t="s">
        <v>17</v>
      </c>
      <c r="C43" s="1">
        <v>413642357.59892863</v>
      </c>
      <c r="D43" s="1" t="s">
        <v>4</v>
      </c>
      <c r="E43" s="1">
        <v>37.5</v>
      </c>
      <c r="F43" s="6"/>
      <c r="G43" s="1"/>
      <c r="H43" s="5" t="s">
        <v>17</v>
      </c>
      <c r="I43" s="1">
        <v>485798312.05964476</v>
      </c>
      <c r="J43" s="1" t="s">
        <v>4</v>
      </c>
      <c r="K43" s="1">
        <v>37.5</v>
      </c>
      <c r="L43" s="6"/>
      <c r="M43" s="1"/>
      <c r="N43" s="5" t="s">
        <v>17</v>
      </c>
      <c r="O43" s="1">
        <v>564867241.03987479</v>
      </c>
      <c r="P43" s="1" t="s">
        <v>4</v>
      </c>
      <c r="Q43" s="1">
        <v>37.5</v>
      </c>
      <c r="R43" s="6"/>
    </row>
    <row r="44" spans="2:18" ht="15.4" thickBot="1" x14ac:dyDescent="0.5">
      <c r="B44" s="7" t="s">
        <v>18</v>
      </c>
      <c r="C44" s="8">
        <v>3935000000</v>
      </c>
      <c r="D44" s="8" t="s">
        <v>21</v>
      </c>
      <c r="E44" s="8">
        <v>0</v>
      </c>
      <c r="F44" s="9"/>
      <c r="G44" s="1"/>
      <c r="H44" s="7" t="s">
        <v>18</v>
      </c>
      <c r="I44" s="8">
        <v>3740000000</v>
      </c>
      <c r="J44" s="8" t="s">
        <v>21</v>
      </c>
      <c r="K44" s="8">
        <v>25</v>
      </c>
      <c r="L44" s="9"/>
      <c r="M44" s="1"/>
      <c r="N44" s="7" t="s">
        <v>18</v>
      </c>
      <c r="O44" s="8">
        <v>3542500000</v>
      </c>
      <c r="P44" s="8" t="s">
        <v>21</v>
      </c>
      <c r="Q44" s="8">
        <v>50</v>
      </c>
      <c r="R44" s="9"/>
    </row>
    <row r="45" spans="2:18" ht="15.4" thickBot="1" x14ac:dyDescent="0.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45">
      <c r="B46" s="2"/>
      <c r="C46" s="3" t="s">
        <v>6</v>
      </c>
      <c r="D46" s="3" t="s">
        <v>7</v>
      </c>
      <c r="E46" s="3" t="s">
        <v>6</v>
      </c>
      <c r="F46" s="4" t="s">
        <v>7</v>
      </c>
      <c r="G46" s="1"/>
      <c r="H46" s="2"/>
      <c r="I46" s="3" t="s">
        <v>6</v>
      </c>
      <c r="J46" s="3" t="s">
        <v>7</v>
      </c>
      <c r="K46" s="3" t="s">
        <v>6</v>
      </c>
      <c r="L46" s="4" t="s">
        <v>7</v>
      </c>
      <c r="M46" s="1"/>
      <c r="N46" s="2"/>
      <c r="O46" s="3" t="s">
        <v>6</v>
      </c>
      <c r="P46" s="3" t="s">
        <v>7</v>
      </c>
      <c r="Q46" s="3" t="s">
        <v>6</v>
      </c>
      <c r="R46" s="4" t="s">
        <v>7</v>
      </c>
    </row>
    <row r="47" spans="2:18" x14ac:dyDescent="0.45">
      <c r="B47" s="5" t="s">
        <v>8</v>
      </c>
      <c r="C47" s="1">
        <v>130</v>
      </c>
      <c r="D47" s="1">
        <v>2600000000</v>
      </c>
      <c r="E47" s="1">
        <v>23</v>
      </c>
      <c r="F47" s="6">
        <v>4600000000</v>
      </c>
      <c r="G47" s="1"/>
      <c r="H47" s="5" t="s">
        <v>8</v>
      </c>
      <c r="I47" s="1">
        <v>120</v>
      </c>
      <c r="J47" s="1">
        <v>2400000000</v>
      </c>
      <c r="K47" s="1">
        <v>26</v>
      </c>
      <c r="L47" s="6">
        <v>5200000000</v>
      </c>
      <c r="M47" s="1"/>
      <c r="N47" s="5" t="s">
        <v>8</v>
      </c>
      <c r="O47" s="1">
        <v>115</v>
      </c>
      <c r="P47" s="1">
        <v>2300000000</v>
      </c>
      <c r="Q47" s="1">
        <v>22</v>
      </c>
      <c r="R47" s="6">
        <v>4400000000</v>
      </c>
    </row>
    <row r="48" spans="2:18" x14ac:dyDescent="0.45">
      <c r="B48" s="5" t="s">
        <v>9</v>
      </c>
      <c r="C48" s="1">
        <v>145</v>
      </c>
      <c r="D48" s="1">
        <v>2900000000</v>
      </c>
      <c r="E48" s="1">
        <v>26</v>
      </c>
      <c r="F48" s="6">
        <v>5200000000</v>
      </c>
      <c r="G48" s="1"/>
      <c r="H48" s="5" t="s">
        <v>9</v>
      </c>
      <c r="I48" s="1">
        <v>135</v>
      </c>
      <c r="J48" s="1">
        <v>2700000000</v>
      </c>
      <c r="K48" s="1">
        <v>18</v>
      </c>
      <c r="L48" s="6">
        <v>3600000000</v>
      </c>
      <c r="M48" s="1"/>
      <c r="N48" s="5" t="s">
        <v>9</v>
      </c>
      <c r="O48" s="1">
        <v>124</v>
      </c>
      <c r="P48" s="1">
        <v>2480000000</v>
      </c>
      <c r="Q48" s="1">
        <v>20</v>
      </c>
      <c r="R48" s="6">
        <v>4000000000</v>
      </c>
    </row>
    <row r="49" spans="2:18" x14ac:dyDescent="0.45">
      <c r="B49" s="5" t="s">
        <v>10</v>
      </c>
      <c r="C49" s="1">
        <v>151</v>
      </c>
      <c r="D49" s="1">
        <v>3020000000</v>
      </c>
      <c r="E49" s="1">
        <v>27</v>
      </c>
      <c r="F49" s="6">
        <v>5400000000</v>
      </c>
      <c r="G49" s="1"/>
      <c r="H49" s="5" t="s">
        <v>10</v>
      </c>
      <c r="I49" s="1">
        <v>129</v>
      </c>
      <c r="J49" s="1">
        <v>2580000000</v>
      </c>
      <c r="K49" s="1">
        <v>24</v>
      </c>
      <c r="L49" s="6">
        <v>4800000000</v>
      </c>
      <c r="M49" s="1"/>
      <c r="N49" s="5" t="s">
        <v>10</v>
      </c>
      <c r="O49" s="1"/>
      <c r="P49" s="1" t="s">
        <v>12</v>
      </c>
      <c r="Q49" s="1">
        <v>18</v>
      </c>
      <c r="R49" s="6">
        <v>3600000000</v>
      </c>
    </row>
    <row r="50" spans="2:18" x14ac:dyDescent="0.45">
      <c r="B50" s="5" t="s">
        <v>11</v>
      </c>
      <c r="C50" s="1"/>
      <c r="D50" s="1" t="s">
        <v>12</v>
      </c>
      <c r="E50" s="1"/>
      <c r="F50" s="6" t="s">
        <v>12</v>
      </c>
      <c r="G50" s="1"/>
      <c r="H50" s="5" t="s">
        <v>11</v>
      </c>
      <c r="I50" s="1"/>
      <c r="J50" s="1" t="s">
        <v>12</v>
      </c>
      <c r="K50" s="1"/>
      <c r="L50" s="6" t="s">
        <v>12</v>
      </c>
      <c r="M50" s="1"/>
      <c r="N50" s="5" t="s">
        <v>11</v>
      </c>
      <c r="O50" s="1"/>
      <c r="P50" s="1" t="s">
        <v>12</v>
      </c>
      <c r="Q50" s="1">
        <v>28</v>
      </c>
      <c r="R50" s="6">
        <v>5600000000</v>
      </c>
    </row>
    <row r="51" spans="2:18" x14ac:dyDescent="0.45">
      <c r="B51" s="5" t="s">
        <v>13</v>
      </c>
      <c r="C51" s="1"/>
      <c r="D51" s="1" t="s">
        <v>12</v>
      </c>
      <c r="E51" s="1"/>
      <c r="F51" s="6" t="s">
        <v>12</v>
      </c>
      <c r="G51" s="1"/>
      <c r="H51" s="5" t="s">
        <v>13</v>
      </c>
      <c r="I51" s="1"/>
      <c r="J51" s="1" t="s">
        <v>12</v>
      </c>
      <c r="K51" s="1"/>
      <c r="L51" s="6" t="s">
        <v>12</v>
      </c>
      <c r="M51" s="1"/>
      <c r="N51" s="5" t="s">
        <v>13</v>
      </c>
      <c r="O51" s="1"/>
      <c r="P51" s="1" t="s">
        <v>12</v>
      </c>
      <c r="Q51" s="1"/>
      <c r="R51" s="6" t="s">
        <v>12</v>
      </c>
    </row>
    <row r="52" spans="2:18" x14ac:dyDescent="0.45">
      <c r="B52" s="5" t="s">
        <v>14</v>
      </c>
      <c r="C52" s="1">
        <v>5</v>
      </c>
      <c r="D52" s="1"/>
      <c r="E52" s="1">
        <v>6</v>
      </c>
      <c r="F52" s="6"/>
      <c r="G52" s="1"/>
      <c r="H52" s="5" t="s">
        <v>14</v>
      </c>
      <c r="I52" s="1">
        <v>5</v>
      </c>
      <c r="J52" s="1"/>
      <c r="K52" s="1">
        <v>6</v>
      </c>
      <c r="L52" s="6"/>
      <c r="M52" s="1"/>
      <c r="N52" s="5" t="s">
        <v>14</v>
      </c>
      <c r="O52" s="1">
        <v>5</v>
      </c>
      <c r="P52" s="1"/>
      <c r="Q52" s="1">
        <v>6</v>
      </c>
      <c r="R52" s="6"/>
    </row>
    <row r="53" spans="2:18" x14ac:dyDescent="0.45">
      <c r="B53" s="5" t="s">
        <v>15</v>
      </c>
      <c r="C53" s="1">
        <v>5</v>
      </c>
      <c r="D53" s="1"/>
      <c r="E53" s="1">
        <v>5</v>
      </c>
      <c r="F53" s="6"/>
      <c r="G53" s="1"/>
      <c r="H53" s="5" t="s">
        <v>15</v>
      </c>
      <c r="I53" s="1">
        <v>5</v>
      </c>
      <c r="J53" s="1"/>
      <c r="K53" s="1">
        <v>5</v>
      </c>
      <c r="L53" s="6"/>
      <c r="M53" s="1"/>
      <c r="N53" s="5" t="s">
        <v>15</v>
      </c>
      <c r="O53" s="1">
        <v>5</v>
      </c>
      <c r="P53" s="1"/>
      <c r="Q53" s="1">
        <v>5</v>
      </c>
      <c r="R53" s="6"/>
    </row>
    <row r="54" spans="2:18" x14ac:dyDescent="0.45">
      <c r="B54" s="5" t="s">
        <v>17</v>
      </c>
      <c r="C54" s="1">
        <v>383086877.29489714</v>
      </c>
      <c r="D54" s="1" t="s">
        <v>4</v>
      </c>
      <c r="E54" s="1">
        <v>38</v>
      </c>
      <c r="F54" s="6"/>
      <c r="G54" s="1"/>
      <c r="H54" s="5" t="s">
        <v>17</v>
      </c>
      <c r="I54" s="1">
        <v>690957467.73750281</v>
      </c>
      <c r="J54" s="1" t="s">
        <v>4</v>
      </c>
      <c r="K54" s="1">
        <v>38</v>
      </c>
      <c r="L54" s="6"/>
      <c r="M54" s="1"/>
      <c r="N54" s="5" t="s">
        <v>17</v>
      </c>
      <c r="O54" s="1">
        <v>753724087.44845092</v>
      </c>
      <c r="P54" s="1" t="s">
        <v>4</v>
      </c>
      <c r="Q54" s="1">
        <v>38</v>
      </c>
      <c r="R54" s="6"/>
    </row>
    <row r="55" spans="2:18" ht="15.4" thickBot="1" x14ac:dyDescent="0.5">
      <c r="B55" s="7" t="s">
        <v>18</v>
      </c>
      <c r="C55" s="8">
        <v>3953333333.3333335</v>
      </c>
      <c r="D55" s="8" t="s">
        <v>21</v>
      </c>
      <c r="E55" s="8">
        <v>0</v>
      </c>
      <c r="F55" s="9"/>
      <c r="G55" s="1"/>
      <c r="H55" s="7" t="s">
        <v>18</v>
      </c>
      <c r="I55" s="8">
        <v>3546666666.6666665</v>
      </c>
      <c r="J55" s="8" t="s">
        <v>21</v>
      </c>
      <c r="K55" s="8">
        <v>25</v>
      </c>
      <c r="L55" s="9"/>
      <c r="M55" s="1"/>
      <c r="N55" s="7" t="s">
        <v>18</v>
      </c>
      <c r="O55" s="8">
        <v>3395000000</v>
      </c>
      <c r="P55" s="8" t="s">
        <v>21</v>
      </c>
      <c r="Q55" s="8">
        <v>50</v>
      </c>
      <c r="R55" s="9"/>
    </row>
    <row r="56" spans="2:18" ht="15.4" thickBot="1" x14ac:dyDescent="0.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45">
      <c r="B57" s="2" t="s">
        <v>20</v>
      </c>
      <c r="C57" s="3" t="s">
        <v>6</v>
      </c>
      <c r="D57" s="3" t="s">
        <v>7</v>
      </c>
      <c r="E57" s="3" t="s">
        <v>6</v>
      </c>
      <c r="F57" s="4" t="s">
        <v>7</v>
      </c>
      <c r="G57" s="1"/>
      <c r="H57" s="2" t="s">
        <v>20</v>
      </c>
      <c r="I57" s="3" t="s">
        <v>6</v>
      </c>
      <c r="J57" s="3" t="s">
        <v>7</v>
      </c>
      <c r="K57" s="3" t="s">
        <v>6</v>
      </c>
      <c r="L57" s="4" t="s">
        <v>7</v>
      </c>
      <c r="M57" s="1"/>
      <c r="N57" s="2" t="s">
        <v>20</v>
      </c>
      <c r="O57" s="3" t="s">
        <v>6</v>
      </c>
      <c r="P57" s="3" t="s">
        <v>7</v>
      </c>
      <c r="Q57" s="3" t="s">
        <v>6</v>
      </c>
      <c r="R57" s="4" t="s">
        <v>7</v>
      </c>
    </row>
    <row r="58" spans="2:18" x14ac:dyDescent="0.45">
      <c r="B58" s="5" t="s">
        <v>8</v>
      </c>
      <c r="C58" s="1">
        <v>145</v>
      </c>
      <c r="D58" s="1">
        <v>2900000000</v>
      </c>
      <c r="E58" s="1">
        <v>27</v>
      </c>
      <c r="F58" s="6">
        <v>5400000000</v>
      </c>
      <c r="G58" s="1"/>
      <c r="H58" s="5" t="s">
        <v>8</v>
      </c>
      <c r="I58" s="1">
        <v>95</v>
      </c>
      <c r="J58" s="1">
        <v>1900000000</v>
      </c>
      <c r="K58" s="1">
        <v>21</v>
      </c>
      <c r="L58" s="6">
        <v>4200000000</v>
      </c>
      <c r="M58" s="1"/>
      <c r="N58" s="5" t="s">
        <v>8</v>
      </c>
      <c r="O58" s="1">
        <v>92</v>
      </c>
      <c r="P58" s="1">
        <v>1840000000</v>
      </c>
      <c r="Q58" s="1">
        <v>23</v>
      </c>
      <c r="R58" s="6">
        <v>4600000000</v>
      </c>
    </row>
    <row r="59" spans="2:18" x14ac:dyDescent="0.45">
      <c r="B59" s="5" t="s">
        <v>9</v>
      </c>
      <c r="C59" s="1">
        <v>135</v>
      </c>
      <c r="D59" s="1">
        <v>2700000000</v>
      </c>
      <c r="E59" s="1">
        <v>26</v>
      </c>
      <c r="F59" s="6">
        <v>5200000000</v>
      </c>
      <c r="G59" s="1"/>
      <c r="H59" s="5" t="s">
        <v>9</v>
      </c>
      <c r="I59" s="1">
        <v>97</v>
      </c>
      <c r="J59" s="1">
        <v>1940000000</v>
      </c>
      <c r="K59" s="1">
        <v>16</v>
      </c>
      <c r="L59" s="6">
        <v>3200000000</v>
      </c>
      <c r="M59" s="1"/>
      <c r="N59" s="5" t="s">
        <v>9</v>
      </c>
      <c r="O59" s="1">
        <v>98</v>
      </c>
      <c r="P59" s="1">
        <v>1960000000</v>
      </c>
      <c r="Q59" s="1">
        <v>21</v>
      </c>
      <c r="R59" s="6">
        <v>4200000000</v>
      </c>
    </row>
    <row r="60" spans="2:18" x14ac:dyDescent="0.45">
      <c r="B60" s="5" t="s">
        <v>10</v>
      </c>
      <c r="C60" s="1">
        <v>129</v>
      </c>
      <c r="D60" s="1">
        <v>2580000000</v>
      </c>
      <c r="E60" s="1">
        <v>22</v>
      </c>
      <c r="F60" s="6">
        <v>4400000000</v>
      </c>
      <c r="G60" s="1"/>
      <c r="H60" s="5" t="s">
        <v>10</v>
      </c>
      <c r="I60" s="1">
        <v>94</v>
      </c>
      <c r="J60" s="1">
        <v>1880000000</v>
      </c>
      <c r="K60" s="1">
        <v>18</v>
      </c>
      <c r="L60" s="6">
        <v>3600000000</v>
      </c>
      <c r="M60" s="1"/>
      <c r="N60" s="5" t="s">
        <v>10</v>
      </c>
      <c r="O60" s="1">
        <v>118</v>
      </c>
      <c r="P60" s="1">
        <v>2360000000</v>
      </c>
      <c r="Q60" s="1">
        <v>25</v>
      </c>
      <c r="R60" s="6">
        <v>5000000000</v>
      </c>
    </row>
    <row r="61" spans="2:18" x14ac:dyDescent="0.45">
      <c r="B61" s="5" t="s">
        <v>11</v>
      </c>
      <c r="C61" s="1"/>
      <c r="D61" s="1" t="s">
        <v>12</v>
      </c>
      <c r="E61" s="1">
        <v>19</v>
      </c>
      <c r="F61" s="6">
        <v>3800000000</v>
      </c>
      <c r="G61" s="1"/>
      <c r="H61" s="5" t="s">
        <v>11</v>
      </c>
      <c r="I61" s="1">
        <v>97</v>
      </c>
      <c r="J61" s="1">
        <v>1940000000</v>
      </c>
      <c r="K61" s="1">
        <v>21</v>
      </c>
      <c r="L61" s="6">
        <v>4200000000</v>
      </c>
      <c r="M61" s="1"/>
      <c r="N61" s="5" t="s">
        <v>11</v>
      </c>
      <c r="O61" s="1">
        <v>95</v>
      </c>
      <c r="P61" s="1">
        <v>1900000000</v>
      </c>
      <c r="Q61" s="1">
        <v>22</v>
      </c>
      <c r="R61" s="6">
        <v>4400000000</v>
      </c>
    </row>
    <row r="62" spans="2:18" x14ac:dyDescent="0.45">
      <c r="B62" s="5" t="s">
        <v>13</v>
      </c>
      <c r="C62" s="1"/>
      <c r="D62" s="1" t="s">
        <v>12</v>
      </c>
      <c r="E62" s="1"/>
      <c r="F62" s="6" t="s">
        <v>12</v>
      </c>
      <c r="G62" s="1"/>
      <c r="H62" s="5" t="s">
        <v>13</v>
      </c>
      <c r="I62" s="1">
        <v>101</v>
      </c>
      <c r="J62" s="1">
        <v>2020000000</v>
      </c>
      <c r="K62" s="1"/>
      <c r="L62" s="6" t="s">
        <v>12</v>
      </c>
      <c r="M62" s="1"/>
      <c r="N62" s="5" t="s">
        <v>13</v>
      </c>
      <c r="O62" s="1"/>
      <c r="P62" s="1" t="s">
        <v>12</v>
      </c>
      <c r="Q62" s="1"/>
      <c r="R62" s="6" t="s">
        <v>12</v>
      </c>
    </row>
    <row r="63" spans="2:18" x14ac:dyDescent="0.45">
      <c r="B63" s="5" t="s">
        <v>14</v>
      </c>
      <c r="C63" s="1">
        <v>5</v>
      </c>
      <c r="D63" s="1"/>
      <c r="E63" s="1">
        <v>6</v>
      </c>
      <c r="F63" s="6"/>
      <c r="G63" s="1"/>
      <c r="H63" s="5" t="s">
        <v>14</v>
      </c>
      <c r="I63" s="1">
        <v>5</v>
      </c>
      <c r="J63" s="1"/>
      <c r="K63" s="1">
        <v>6</v>
      </c>
      <c r="L63" s="6"/>
      <c r="M63" s="1"/>
      <c r="N63" s="5" t="s">
        <v>14</v>
      </c>
      <c r="O63" s="1">
        <v>5</v>
      </c>
      <c r="P63" s="1"/>
      <c r="Q63" s="1">
        <v>6</v>
      </c>
      <c r="R63" s="6"/>
    </row>
    <row r="64" spans="2:18" x14ac:dyDescent="0.45">
      <c r="B64" s="5" t="s">
        <v>15</v>
      </c>
      <c r="C64" s="1">
        <v>5</v>
      </c>
      <c r="D64" s="1"/>
      <c r="E64" s="1">
        <v>5</v>
      </c>
      <c r="F64" s="6"/>
      <c r="G64" s="1"/>
      <c r="H64" s="5" t="s">
        <v>15</v>
      </c>
      <c r="I64" s="1">
        <v>5</v>
      </c>
      <c r="J64" s="1"/>
      <c r="K64" s="1">
        <v>5</v>
      </c>
      <c r="L64" s="6"/>
      <c r="M64" s="1"/>
      <c r="N64" s="5" t="s">
        <v>15</v>
      </c>
      <c r="O64" s="1">
        <v>5</v>
      </c>
      <c r="P64" s="1"/>
      <c r="Q64" s="1">
        <v>5</v>
      </c>
      <c r="R64" s="6"/>
    </row>
    <row r="65" spans="2:18" x14ac:dyDescent="0.45">
      <c r="B65" s="5" t="s">
        <v>17</v>
      </c>
      <c r="C65" s="1">
        <v>653775360.67232001</v>
      </c>
      <c r="D65" s="1" t="s">
        <v>4</v>
      </c>
      <c r="E65" s="1">
        <v>38</v>
      </c>
      <c r="F65" s="6"/>
      <c r="G65" s="1"/>
      <c r="H65" s="5" t="s">
        <v>17</v>
      </c>
      <c r="I65" s="1">
        <v>426970724.99177265</v>
      </c>
      <c r="J65" s="1" t="s">
        <v>4</v>
      </c>
      <c r="K65" s="1">
        <v>38</v>
      </c>
      <c r="L65" s="6"/>
      <c r="M65" s="1"/>
      <c r="N65" s="5" t="s">
        <v>17</v>
      </c>
      <c r="O65" s="1">
        <v>359130895.35711068</v>
      </c>
      <c r="P65" s="1" t="s">
        <v>4</v>
      </c>
      <c r="Q65" s="1">
        <v>38</v>
      </c>
      <c r="R65" s="6"/>
    </row>
    <row r="66" spans="2:18" ht="15.4" thickBot="1" x14ac:dyDescent="0.5">
      <c r="B66" s="7" t="s">
        <v>18</v>
      </c>
      <c r="C66" s="8">
        <v>3713333333.333333</v>
      </c>
      <c r="D66" s="8" t="s">
        <v>21</v>
      </c>
      <c r="E66" s="8">
        <v>0</v>
      </c>
      <c r="F66" s="9"/>
      <c r="G66" s="1"/>
      <c r="H66" s="7" t="s">
        <v>18</v>
      </c>
      <c r="I66" s="8">
        <v>2868000000</v>
      </c>
      <c r="J66" s="8" t="s">
        <v>21</v>
      </c>
      <c r="K66" s="8">
        <v>25</v>
      </c>
      <c r="L66" s="9"/>
      <c r="M66" s="1"/>
      <c r="N66" s="7" t="s">
        <v>18</v>
      </c>
      <c r="O66" s="8">
        <v>3282500000</v>
      </c>
      <c r="P66" s="8" t="s">
        <v>21</v>
      </c>
      <c r="Q66" s="8">
        <v>50</v>
      </c>
      <c r="R66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2026-08-01T08:32:02Z</dcterms:modified>
</cp:coreProperties>
</file>