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大學的東西\iGEM\9th\數據\experiment data\"/>
    </mc:Choice>
  </mc:AlternateContent>
  <xr:revisionPtr revIDLastSave="0" documentId="13_ncr:1_{02671C54-784F-4F5A-AE31-6CA323FE76B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ta" sheetId="1" r:id="rId1"/>
    <sheet name="raw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1" i="2" l="1"/>
  <c r="C331" i="2"/>
  <c r="G329" i="2"/>
  <c r="F327" i="2"/>
  <c r="D327" i="2"/>
  <c r="F326" i="2"/>
  <c r="D326" i="2"/>
  <c r="F325" i="2"/>
  <c r="D325" i="2"/>
  <c r="C330" i="2" s="1"/>
  <c r="F324" i="2"/>
  <c r="D324" i="2"/>
  <c r="F323" i="2"/>
  <c r="D323" i="2"/>
  <c r="G320" i="2"/>
  <c r="G318" i="2"/>
  <c r="F316" i="2"/>
  <c r="D316" i="2"/>
  <c r="F315" i="2"/>
  <c r="D315" i="2"/>
  <c r="C320" i="2" s="1"/>
  <c r="F314" i="2"/>
  <c r="D314" i="2"/>
  <c r="F313" i="2"/>
  <c r="D313" i="2"/>
  <c r="F312" i="2"/>
  <c r="D312" i="2"/>
  <c r="G309" i="2"/>
  <c r="C309" i="2"/>
  <c r="G307" i="2"/>
  <c r="F305" i="2"/>
  <c r="D305" i="2"/>
  <c r="F304" i="2"/>
  <c r="D304" i="2"/>
  <c r="F303" i="2"/>
  <c r="D303" i="2"/>
  <c r="F302" i="2"/>
  <c r="D302" i="2"/>
  <c r="F301" i="2"/>
  <c r="D301" i="2"/>
  <c r="C308" i="2" s="1"/>
  <c r="G298" i="2"/>
  <c r="C298" i="2"/>
  <c r="G296" i="2"/>
  <c r="F294" i="2"/>
  <c r="D294" i="2"/>
  <c r="F293" i="2"/>
  <c r="D293" i="2"/>
  <c r="F292" i="2"/>
  <c r="D292" i="2"/>
  <c r="F291" i="2"/>
  <c r="D291" i="2"/>
  <c r="F290" i="2"/>
  <c r="D290" i="2"/>
  <c r="C297" i="2" s="1"/>
  <c r="G287" i="2"/>
  <c r="G285" i="2"/>
  <c r="F283" i="2"/>
  <c r="D283" i="2"/>
  <c r="F282" i="2"/>
  <c r="D282" i="2"/>
  <c r="F281" i="2"/>
  <c r="D281" i="2"/>
  <c r="F280" i="2"/>
  <c r="D280" i="2"/>
  <c r="F279" i="2"/>
  <c r="D279" i="2"/>
  <c r="C287" i="2" s="1"/>
  <c r="G276" i="2"/>
  <c r="G274" i="2"/>
  <c r="F272" i="2"/>
  <c r="D272" i="2"/>
  <c r="F271" i="2"/>
  <c r="D271" i="2"/>
  <c r="F270" i="2"/>
  <c r="D270" i="2"/>
  <c r="F269" i="2"/>
  <c r="D269" i="2"/>
  <c r="C275" i="2" s="1"/>
  <c r="F268" i="2"/>
  <c r="D268" i="2"/>
  <c r="C276" i="2" s="1"/>
  <c r="G265" i="2"/>
  <c r="G263" i="2"/>
  <c r="F261" i="2"/>
  <c r="D261" i="2"/>
  <c r="F260" i="2"/>
  <c r="D260" i="2"/>
  <c r="C265" i="2" s="1"/>
  <c r="F259" i="2"/>
  <c r="D259" i="2"/>
  <c r="F258" i="2"/>
  <c r="D258" i="2"/>
  <c r="F257" i="2"/>
  <c r="D257" i="2"/>
  <c r="C264" i="2" s="1"/>
  <c r="G254" i="2"/>
  <c r="G252" i="2"/>
  <c r="F250" i="2"/>
  <c r="D250" i="2"/>
  <c r="C254" i="2" s="1"/>
  <c r="F249" i="2"/>
  <c r="D249" i="2"/>
  <c r="F248" i="2"/>
  <c r="D248" i="2"/>
  <c r="F247" i="2"/>
  <c r="D247" i="2"/>
  <c r="F246" i="2"/>
  <c r="D246" i="2"/>
  <c r="C253" i="2" s="1"/>
  <c r="G243" i="2"/>
  <c r="C242" i="2"/>
  <c r="G241" i="2"/>
  <c r="F239" i="2"/>
  <c r="D239" i="2"/>
  <c r="F238" i="2"/>
  <c r="D238" i="2"/>
  <c r="F237" i="2"/>
  <c r="D237" i="2"/>
  <c r="F236" i="2"/>
  <c r="D236" i="2"/>
  <c r="F235" i="2"/>
  <c r="D235" i="2"/>
  <c r="C243" i="2" s="1"/>
  <c r="G232" i="2"/>
  <c r="C232" i="2"/>
  <c r="G230" i="2"/>
  <c r="F228" i="2"/>
  <c r="D228" i="2"/>
  <c r="F227" i="2"/>
  <c r="D227" i="2"/>
  <c r="F226" i="2"/>
  <c r="D226" i="2"/>
  <c r="F225" i="2"/>
  <c r="D225" i="2"/>
  <c r="F224" i="2"/>
  <c r="D224" i="2"/>
  <c r="C231" i="2" s="1"/>
  <c r="G221" i="2"/>
  <c r="G219" i="2"/>
  <c r="F217" i="2"/>
  <c r="D217" i="2"/>
  <c r="F216" i="2"/>
  <c r="D216" i="2"/>
  <c r="F215" i="2"/>
  <c r="D215" i="2"/>
  <c r="F214" i="2"/>
  <c r="D214" i="2"/>
  <c r="C220" i="2" s="1"/>
  <c r="F213" i="2"/>
  <c r="D213" i="2"/>
  <c r="C221" i="2" s="1"/>
  <c r="G210" i="2"/>
  <c r="G208" i="2"/>
  <c r="F206" i="2"/>
  <c r="D206" i="2"/>
  <c r="F205" i="2"/>
  <c r="D205" i="2"/>
  <c r="F204" i="2"/>
  <c r="D204" i="2"/>
  <c r="C210" i="2" s="1"/>
  <c r="F203" i="2"/>
  <c r="D203" i="2"/>
  <c r="F202" i="2"/>
  <c r="D202" i="2"/>
  <c r="G199" i="2"/>
  <c r="G197" i="2"/>
  <c r="F195" i="2"/>
  <c r="D195" i="2"/>
  <c r="F194" i="2"/>
  <c r="C199" i="2" s="1"/>
  <c r="D194" i="2"/>
  <c r="F193" i="2"/>
  <c r="D193" i="2"/>
  <c r="F192" i="2"/>
  <c r="D192" i="2"/>
  <c r="F191" i="2"/>
  <c r="D191" i="2"/>
  <c r="C198" i="2" s="1"/>
  <c r="G188" i="2"/>
  <c r="G186" i="2"/>
  <c r="F184" i="2"/>
  <c r="D184" i="2"/>
  <c r="F183" i="2"/>
  <c r="D183" i="2"/>
  <c r="F182" i="2"/>
  <c r="D182" i="2"/>
  <c r="F181" i="2"/>
  <c r="D181" i="2"/>
  <c r="F180" i="2"/>
  <c r="C187" i="2" s="1"/>
  <c r="D180" i="2"/>
  <c r="C188" i="2" s="1"/>
  <c r="G177" i="2"/>
  <c r="G175" i="2"/>
  <c r="F173" i="2"/>
  <c r="D173" i="2"/>
  <c r="F172" i="2"/>
  <c r="D172" i="2"/>
  <c r="F171" i="2"/>
  <c r="D171" i="2"/>
  <c r="F170" i="2"/>
  <c r="D170" i="2"/>
  <c r="C177" i="2" s="1"/>
  <c r="F169" i="2"/>
  <c r="D169" i="2"/>
  <c r="C176" i="2" s="1"/>
  <c r="G166" i="2"/>
  <c r="G164" i="2"/>
  <c r="F162" i="2"/>
  <c r="D162" i="2"/>
  <c r="F161" i="2"/>
  <c r="D161" i="2"/>
  <c r="F160" i="2"/>
  <c r="D160" i="2"/>
  <c r="F159" i="2"/>
  <c r="D159" i="2"/>
  <c r="F158" i="2"/>
  <c r="D158" i="2"/>
  <c r="C166" i="2" s="1"/>
  <c r="G155" i="2"/>
  <c r="G153" i="2"/>
  <c r="F151" i="2"/>
  <c r="D151" i="2"/>
  <c r="F150" i="2"/>
  <c r="D150" i="2"/>
  <c r="F149" i="2"/>
  <c r="D149" i="2"/>
  <c r="C155" i="2" s="1"/>
  <c r="F148" i="2"/>
  <c r="D148" i="2"/>
  <c r="F147" i="2"/>
  <c r="D147" i="2"/>
  <c r="G144" i="2"/>
  <c r="G142" i="2"/>
  <c r="F140" i="2"/>
  <c r="D140" i="2"/>
  <c r="F139" i="2"/>
  <c r="D139" i="2"/>
  <c r="C143" i="2" s="1"/>
  <c r="F138" i="2"/>
  <c r="D138" i="2"/>
  <c r="F137" i="2"/>
  <c r="D137" i="2"/>
  <c r="F136" i="2"/>
  <c r="D136" i="2"/>
  <c r="G133" i="2"/>
  <c r="G131" i="2"/>
  <c r="F129" i="2"/>
  <c r="C133" i="2" s="1"/>
  <c r="D129" i="2"/>
  <c r="F128" i="2"/>
  <c r="D128" i="2"/>
  <c r="F127" i="2"/>
  <c r="D127" i="2"/>
  <c r="F126" i="2"/>
  <c r="D126" i="2"/>
  <c r="F125" i="2"/>
  <c r="D125" i="2"/>
  <c r="C132" i="2" s="1"/>
  <c r="G122" i="2"/>
  <c r="G120" i="2"/>
  <c r="F118" i="2"/>
  <c r="D118" i="2"/>
  <c r="F117" i="2"/>
  <c r="D117" i="2"/>
  <c r="F116" i="2"/>
  <c r="D116" i="2"/>
  <c r="F115" i="2"/>
  <c r="D115" i="2"/>
  <c r="F114" i="2"/>
  <c r="C122" i="2" s="1"/>
  <c r="D114" i="2"/>
  <c r="C121" i="2" s="1"/>
  <c r="G111" i="2"/>
  <c r="E111" i="2"/>
  <c r="E122" i="2" s="1"/>
  <c r="E133" i="2" s="1"/>
  <c r="E144" i="2" s="1"/>
  <c r="E155" i="2" s="1"/>
  <c r="E166" i="2" s="1"/>
  <c r="E177" i="2" s="1"/>
  <c r="E188" i="2" s="1"/>
  <c r="E199" i="2" s="1"/>
  <c r="E210" i="2" s="1"/>
  <c r="E221" i="2" s="1"/>
  <c r="E232" i="2" s="1"/>
  <c r="E243" i="2" s="1"/>
  <c r="E254" i="2" s="1"/>
  <c r="E265" i="2" s="1"/>
  <c r="E276" i="2" s="1"/>
  <c r="E287" i="2" s="1"/>
  <c r="E298" i="2" s="1"/>
  <c r="E309" i="2" s="1"/>
  <c r="E320" i="2" s="1"/>
  <c r="E331" i="2" s="1"/>
  <c r="G109" i="2"/>
  <c r="F107" i="2"/>
  <c r="D107" i="2"/>
  <c r="F106" i="2"/>
  <c r="D106" i="2"/>
  <c r="F105" i="2"/>
  <c r="D105" i="2"/>
  <c r="F104" i="2"/>
  <c r="D104" i="2"/>
  <c r="F103" i="2"/>
  <c r="D103" i="2"/>
  <c r="C111" i="2" s="1"/>
  <c r="G100" i="2"/>
  <c r="E100" i="2"/>
  <c r="G98" i="2"/>
  <c r="F96" i="2"/>
  <c r="D96" i="2"/>
  <c r="F95" i="2"/>
  <c r="D95" i="2"/>
  <c r="F94" i="2"/>
  <c r="D94" i="2"/>
  <c r="F93" i="2"/>
  <c r="D93" i="2"/>
  <c r="C99" i="2" s="1"/>
  <c r="F92" i="2"/>
  <c r="D92" i="2"/>
  <c r="C100" i="2" s="1"/>
  <c r="G89" i="2"/>
  <c r="G87" i="2"/>
  <c r="F85" i="2"/>
  <c r="D85" i="2"/>
  <c r="F84" i="2"/>
  <c r="D84" i="2"/>
  <c r="F83" i="2"/>
  <c r="D83" i="2"/>
  <c r="C88" i="2" s="1"/>
  <c r="F82" i="2"/>
  <c r="D82" i="2"/>
  <c r="F81" i="2"/>
  <c r="D81" i="2"/>
  <c r="G78" i="2"/>
  <c r="G76" i="2"/>
  <c r="F74" i="2"/>
  <c r="D74" i="2"/>
  <c r="C78" i="2" s="1"/>
  <c r="F73" i="2"/>
  <c r="D73" i="2"/>
  <c r="F72" i="2"/>
  <c r="D72" i="2"/>
  <c r="F71" i="2"/>
  <c r="D71" i="2"/>
  <c r="F70" i="2"/>
  <c r="D70" i="2"/>
  <c r="C77" i="2" s="1"/>
  <c r="G67" i="2"/>
  <c r="E67" i="2"/>
  <c r="E78" i="2" s="1"/>
  <c r="C66" i="2"/>
  <c r="G65" i="2"/>
  <c r="F63" i="2"/>
  <c r="D63" i="2"/>
  <c r="F62" i="2"/>
  <c r="D62" i="2"/>
  <c r="F61" i="2"/>
  <c r="D61" i="2"/>
  <c r="F60" i="2"/>
  <c r="D60" i="2"/>
  <c r="F59" i="2"/>
  <c r="D59" i="2"/>
  <c r="C67" i="2" s="1"/>
  <c r="G56" i="2"/>
  <c r="C56" i="2"/>
  <c r="G54" i="2"/>
  <c r="F52" i="2"/>
  <c r="D52" i="2"/>
  <c r="F51" i="2"/>
  <c r="D51" i="2"/>
  <c r="F50" i="2"/>
  <c r="D50" i="2"/>
  <c r="F49" i="2"/>
  <c r="D49" i="2"/>
  <c r="F48" i="2"/>
  <c r="D48" i="2"/>
  <c r="C55" i="2" s="1"/>
  <c r="G45" i="2"/>
  <c r="C45" i="2"/>
  <c r="G43" i="2"/>
  <c r="F41" i="2"/>
  <c r="D41" i="2"/>
  <c r="F40" i="2"/>
  <c r="D40" i="2"/>
  <c r="F39" i="2"/>
  <c r="D39" i="2"/>
  <c r="F38" i="2"/>
  <c r="D38" i="2"/>
  <c r="F37" i="2"/>
  <c r="D37" i="2"/>
  <c r="C44" i="2" s="1"/>
  <c r="G34" i="2"/>
  <c r="G32" i="2"/>
  <c r="F30" i="2"/>
  <c r="D30" i="2"/>
  <c r="F29" i="2"/>
  <c r="D29" i="2"/>
  <c r="F28" i="2"/>
  <c r="D28" i="2"/>
  <c r="F27" i="2"/>
  <c r="D27" i="2"/>
  <c r="C33" i="2" s="1"/>
  <c r="F26" i="2"/>
  <c r="D26" i="2"/>
  <c r="C34" i="2" s="1"/>
  <c r="G23" i="2"/>
  <c r="E23" i="2"/>
  <c r="E34" i="2" s="1"/>
  <c r="F22" i="2"/>
  <c r="F33" i="2" s="1"/>
  <c r="F44" i="2" s="1"/>
  <c r="F55" i="2" s="1"/>
  <c r="F66" i="2" s="1"/>
  <c r="F77" i="2" s="1"/>
  <c r="F88" i="2" s="1"/>
  <c r="F99" i="2" s="1"/>
  <c r="F110" i="2" s="1"/>
  <c r="F121" i="2" s="1"/>
  <c r="F132" i="2" s="1"/>
  <c r="F143" i="2" s="1"/>
  <c r="F154" i="2" s="1"/>
  <c r="F165" i="2" s="1"/>
  <c r="F176" i="2" s="1"/>
  <c r="F187" i="2" s="1"/>
  <c r="F198" i="2" s="1"/>
  <c r="F209" i="2" s="1"/>
  <c r="F220" i="2" s="1"/>
  <c r="F231" i="2" s="1"/>
  <c r="F242" i="2" s="1"/>
  <c r="F253" i="2" s="1"/>
  <c r="F264" i="2" s="1"/>
  <c r="F275" i="2" s="1"/>
  <c r="F286" i="2" s="1"/>
  <c r="F297" i="2" s="1"/>
  <c r="F308" i="2" s="1"/>
  <c r="F319" i="2" s="1"/>
  <c r="F330" i="2" s="1"/>
  <c r="E22" i="2"/>
  <c r="E33" i="2" s="1"/>
  <c r="E44" i="2" s="1"/>
  <c r="E55" i="2" s="1"/>
  <c r="E66" i="2" s="1"/>
  <c r="E77" i="2" s="1"/>
  <c r="E88" i="2" s="1"/>
  <c r="E99" i="2" s="1"/>
  <c r="E110" i="2" s="1"/>
  <c r="E121" i="2" s="1"/>
  <c r="E132" i="2" s="1"/>
  <c r="E143" i="2" s="1"/>
  <c r="E154" i="2" s="1"/>
  <c r="E165" i="2" s="1"/>
  <c r="E176" i="2" s="1"/>
  <c r="E187" i="2" s="1"/>
  <c r="E198" i="2" s="1"/>
  <c r="E209" i="2" s="1"/>
  <c r="E220" i="2" s="1"/>
  <c r="E231" i="2" s="1"/>
  <c r="E242" i="2" s="1"/>
  <c r="E253" i="2" s="1"/>
  <c r="E264" i="2" s="1"/>
  <c r="E275" i="2" s="1"/>
  <c r="E286" i="2" s="1"/>
  <c r="E297" i="2" s="1"/>
  <c r="E308" i="2" s="1"/>
  <c r="E319" i="2" s="1"/>
  <c r="E330" i="2" s="1"/>
  <c r="G21" i="2"/>
  <c r="F19" i="2"/>
  <c r="D19" i="2"/>
  <c r="F18" i="2"/>
  <c r="D18" i="2"/>
  <c r="F17" i="2"/>
  <c r="D17" i="2"/>
  <c r="C22" i="2" s="1"/>
  <c r="F16" i="2"/>
  <c r="D16" i="2"/>
  <c r="F15" i="2"/>
  <c r="D15" i="2"/>
  <c r="G12" i="2"/>
  <c r="G10" i="2"/>
  <c r="F8" i="2"/>
  <c r="D8" i="2"/>
  <c r="F7" i="2"/>
  <c r="D7" i="2"/>
  <c r="F6" i="2"/>
  <c r="D6" i="2"/>
  <c r="C12" i="2" s="1"/>
  <c r="F5" i="2"/>
  <c r="D5" i="2"/>
  <c r="F4" i="2"/>
  <c r="D4" i="2"/>
  <c r="C24" i="2" l="1"/>
  <c r="E13" i="2"/>
  <c r="C319" i="2"/>
  <c r="C209" i="2"/>
  <c r="C11" i="2"/>
  <c r="C144" i="2"/>
  <c r="C154" i="2"/>
  <c r="C23" i="2"/>
  <c r="C89" i="2"/>
  <c r="C110" i="2"/>
  <c r="C286" i="2"/>
  <c r="C165" i="2"/>
  <c r="E24" i="2" l="1"/>
  <c r="C35" i="2"/>
  <c r="C46" i="2" l="1"/>
  <c r="E35" i="2"/>
  <c r="E46" i="2" l="1"/>
  <c r="C57" i="2"/>
  <c r="E57" i="2" l="1"/>
  <c r="C68" i="2"/>
  <c r="C79" i="2" l="1"/>
  <c r="E68" i="2"/>
  <c r="C90" i="2" l="1"/>
  <c r="E79" i="2"/>
  <c r="E90" i="2" l="1"/>
  <c r="C101" i="2"/>
  <c r="C112" i="2" l="1"/>
  <c r="E101" i="2"/>
  <c r="E112" i="2" l="1"/>
  <c r="C123" i="2"/>
  <c r="E123" i="2" l="1"/>
  <c r="C134" i="2"/>
  <c r="C145" i="2" l="1"/>
  <c r="E134" i="2"/>
  <c r="E145" i="2" l="1"/>
  <c r="C156" i="2"/>
  <c r="E156" i="2" l="1"/>
  <c r="C167" i="2"/>
  <c r="C178" i="2" l="1"/>
  <c r="E167" i="2"/>
  <c r="C189" i="2" l="1"/>
  <c r="E178" i="2"/>
  <c r="C200" i="2" l="1"/>
  <c r="E189" i="2"/>
  <c r="C211" i="2" l="1"/>
  <c r="E200" i="2"/>
  <c r="E211" i="2" l="1"/>
  <c r="C222" i="2"/>
  <c r="C233" i="2" l="1"/>
  <c r="E222" i="2"/>
  <c r="E233" i="2" l="1"/>
  <c r="C244" i="2"/>
  <c r="C255" i="2" l="1"/>
  <c r="E244" i="2"/>
  <c r="E255" i="2" l="1"/>
  <c r="C266" i="2"/>
  <c r="E266" i="2" l="1"/>
  <c r="C277" i="2"/>
  <c r="C288" i="2" l="1"/>
  <c r="E277" i="2"/>
  <c r="C299" i="2" l="1"/>
  <c r="E288" i="2"/>
  <c r="E299" i="2" l="1"/>
  <c r="C310" i="2"/>
  <c r="E310" i="2" l="1"/>
  <c r="C321" i="2"/>
  <c r="C332" i="2" l="1"/>
  <c r="E332" i="2" s="1"/>
  <c r="E321" i="2"/>
</calcChain>
</file>

<file path=xl/sharedStrings.xml><?xml version="1.0" encoding="utf-8"?>
<sst xmlns="http://schemas.openxmlformats.org/spreadsheetml/2006/main" count="610" uniqueCount="27">
  <si>
    <r>
      <t>Temp: 37</t>
    </r>
    <r>
      <rPr>
        <b/>
        <sz val="11"/>
        <color theme="1"/>
        <rFont val="Segoe UI Symbol"/>
        <family val="4"/>
      </rPr>
      <t>℃</t>
    </r>
    <phoneticPr fontId="1" type="noConversion"/>
  </si>
  <si>
    <t>2024/8/17-2024/8/18</t>
    <phoneticPr fontId="1" type="noConversion"/>
  </si>
  <si>
    <t>E. coli growth curve OD</t>
    <phoneticPr fontId="1" type="noConversion"/>
  </si>
  <si>
    <t>time (hr)</t>
    <phoneticPr fontId="1" type="noConversion"/>
  </si>
  <si>
    <t>OD600</t>
    <phoneticPr fontId="1" type="noConversion"/>
  </si>
  <si>
    <t>SD</t>
    <phoneticPr fontId="1" type="noConversion"/>
  </si>
  <si>
    <r>
      <t>E. coli(OD</t>
    </r>
    <r>
      <rPr>
        <b/>
        <sz val="8"/>
        <color theme="1"/>
        <rFont val="Times New Roman"/>
        <family val="1"/>
      </rPr>
      <t>600</t>
    </r>
    <r>
      <rPr>
        <b/>
        <sz val="11"/>
        <color theme="1"/>
        <rFont val="Times New Roman"/>
        <family val="1"/>
      </rPr>
      <t xml:space="preserve"> = 0.52, dilute 100x)</t>
    </r>
    <phoneticPr fontId="1" type="noConversion"/>
  </si>
  <si>
    <t>E. coli(OD600 = 0.52，Dilute 100x)</t>
  </si>
  <si>
    <t>Temp.: 37℃</t>
  </si>
  <si>
    <t>CFU count (CFU)</t>
  </si>
  <si>
    <t>CFU/mL</t>
  </si>
  <si>
    <t>OD</t>
    <phoneticPr fontId="1" type="noConversion"/>
  </si>
  <si>
    <t>test 1</t>
  </si>
  <si>
    <t>test 2</t>
  </si>
  <si>
    <t>test 3</t>
  </si>
  <si>
    <t>test 4</t>
  </si>
  <si>
    <t>test 5</t>
  </si>
  <si>
    <t>Dilute (10^n)</t>
  </si>
  <si>
    <t>SD (OD)</t>
    <phoneticPr fontId="1" type="noConversion"/>
  </si>
  <si>
    <t>loading Vol. (λ)</t>
  </si>
  <si>
    <t>SD (CFU)</t>
    <phoneticPr fontId="1" type="noConversion"/>
  </si>
  <si>
    <t>Time (hr)</t>
  </si>
  <si>
    <t>mean OD</t>
  </si>
  <si>
    <t>mean CFU/mL</t>
  </si>
  <si>
    <t>Exp. Time</t>
  </si>
  <si>
    <t>Vol. (mL)</t>
  </si>
  <si>
    <t>total CFU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</si>
</sst>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color theme="1"/>
      <name val="Times New Roman"/>
      <family val="1"/>
    </font>
    <font>
      <b/>
      <sz val="8"/>
      <color theme="1"/>
      <name val="Times New Roman"/>
      <family val="1"/>
    </font>
    <font>
      <b/>
      <sz val="11"/>
      <color theme="1"/>
      <name val="Segoe UI Symbol"/>
      <family val="4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2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6" fillId="3" borderId="2" xfId="0" applyFont="1" applyFill="1" applyBorder="1"/>
    <xf numFmtId="0" fontId="6" fillId="3" borderId="3" xfId="0" applyFont="1" applyFill="1" applyBorder="1"/>
    <xf numFmtId="0" fontId="6" fillId="3" borderId="4" xfId="0" applyFont="1" applyFill="1" applyBorder="1"/>
    <xf numFmtId="0" fontId="6" fillId="3" borderId="5" xfId="0" applyFont="1" applyFill="1" applyBorder="1"/>
    <xf numFmtId="0" fontId="6" fillId="3" borderId="6" xfId="0" applyFont="1" applyFill="1" applyBorder="1"/>
    <xf numFmtId="0" fontId="6" fillId="4" borderId="0" xfId="0" applyFont="1" applyFill="1"/>
    <xf numFmtId="0" fontId="6" fillId="4" borderId="7" xfId="0" applyFont="1" applyFill="1" applyBorder="1"/>
    <xf numFmtId="0" fontId="6" fillId="4" borderId="8" xfId="0" applyFont="1" applyFill="1" applyBorder="1"/>
    <xf numFmtId="0" fontId="6" fillId="3" borderId="9" xfId="0" applyFont="1" applyFill="1" applyBorder="1"/>
    <xf numFmtId="0" fontId="6" fillId="4" borderId="10" xfId="0" applyFont="1" applyFill="1" applyBorder="1"/>
    <xf numFmtId="0" fontId="6" fillId="4" borderId="11" xfId="0" applyFont="1" applyFill="1" applyBorder="1"/>
    <xf numFmtId="0" fontId="6" fillId="3" borderId="12" xfId="0" applyFont="1" applyFill="1" applyBorder="1"/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3" borderId="8" xfId="0" applyFont="1" applyFill="1" applyBorder="1"/>
    <xf numFmtId="0" fontId="6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6" fillId="3" borderId="0" xfId="0" applyFont="1" applyFill="1"/>
    <xf numFmtId="0" fontId="6" fillId="4" borderId="13" xfId="0" applyFont="1" applyFill="1" applyBorder="1" applyAlignment="1">
      <alignment horizontal="left"/>
    </xf>
    <xf numFmtId="0" fontId="6" fillId="4" borderId="14" xfId="0" applyFont="1" applyFill="1" applyBorder="1" applyAlignment="1">
      <alignment horizontal="left"/>
    </xf>
    <xf numFmtId="20" fontId="6" fillId="4" borderId="0" xfId="0" applyNumberFormat="1" applyFont="1" applyFill="1" applyAlignment="1">
      <alignment horizontal="left"/>
    </xf>
    <xf numFmtId="0" fontId="6" fillId="4" borderId="7" xfId="0" applyFont="1" applyFill="1" applyBorder="1" applyAlignment="1">
      <alignment horizontal="left"/>
    </xf>
    <xf numFmtId="0" fontId="6" fillId="4" borderId="16" xfId="0" applyFont="1" applyFill="1" applyBorder="1" applyAlignment="1">
      <alignment horizontal="center" vertical="center"/>
    </xf>
    <xf numFmtId="0" fontId="6" fillId="3" borderId="17" xfId="0" applyFont="1" applyFill="1" applyBorder="1"/>
    <xf numFmtId="0" fontId="6" fillId="4" borderId="1" xfId="0" applyFont="1" applyFill="1" applyBorder="1"/>
    <xf numFmtId="0" fontId="6" fillId="3" borderId="1" xfId="0" applyFont="1" applyFill="1" applyBorder="1"/>
    <xf numFmtId="0" fontId="6" fillId="4" borderId="1" xfId="0" applyFont="1" applyFill="1" applyBorder="1" applyAlignment="1">
      <alignment horizontal="left"/>
    </xf>
    <xf numFmtId="0" fontId="6" fillId="4" borderId="18" xfId="0" applyFont="1" applyFill="1" applyBorder="1" applyAlignment="1">
      <alignment horizontal="left"/>
    </xf>
    <xf numFmtId="0" fontId="6" fillId="4" borderId="19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6" fillId="4" borderId="21" xfId="0" applyFont="1" applyFill="1" applyBorder="1" applyAlignment="1">
      <alignment horizontal="center"/>
    </xf>
    <xf numFmtId="20" fontId="6" fillId="4" borderId="0" xfId="0" applyNumberFormat="1" applyFont="1" applyFill="1" applyAlignment="1">
      <alignment horizontal="left"/>
    </xf>
    <xf numFmtId="0" fontId="6" fillId="4" borderId="1" xfId="0" applyFont="1" applyFill="1" applyBorder="1" applyAlignment="1">
      <alignment horizontal="left"/>
    </xf>
    <xf numFmtId="0" fontId="6" fillId="4" borderId="18" xfId="0" applyFont="1" applyFill="1" applyBorder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25"/>
  <sheetViews>
    <sheetView tabSelected="1" workbookViewId="0">
      <selection activeCell="I9" sqref="I9"/>
    </sheetView>
  </sheetViews>
  <sheetFormatPr defaultRowHeight="13.9" x14ac:dyDescent="0.4"/>
  <cols>
    <col min="1" max="1" width="9.140625" style="2"/>
    <col min="2" max="2" width="23.28515625" style="2" bestFit="1" customWidth="1"/>
    <col min="3" max="3" width="9.140625" style="2"/>
    <col min="4" max="4" width="13" style="2" customWidth="1"/>
    <col min="5" max="5" width="7.5703125" style="2" customWidth="1"/>
    <col min="6" max="6" width="13" style="2" bestFit="1" customWidth="1"/>
    <col min="7" max="7" width="12.85546875" style="2" bestFit="1" customWidth="1"/>
    <col min="8" max="8" width="9.140625" style="2"/>
    <col min="9" max="9" width="13.140625" style="2" customWidth="1"/>
    <col min="10" max="16384" width="9.140625" style="2"/>
  </cols>
  <sheetData>
    <row r="1" spans="2:9" ht="16.899999999999999" thickBot="1" x14ac:dyDescent="0.65">
      <c r="D1" s="4" t="s">
        <v>6</v>
      </c>
      <c r="E1" s="4"/>
      <c r="F1" s="4"/>
      <c r="G1" s="1" t="s">
        <v>0</v>
      </c>
      <c r="H1" s="4" t="s">
        <v>1</v>
      </c>
      <c r="I1" s="4"/>
    </row>
    <row r="2" spans="2:9" x14ac:dyDescent="0.4">
      <c r="B2" s="2" t="s">
        <v>2</v>
      </c>
      <c r="D2" s="2" t="s">
        <v>3</v>
      </c>
      <c r="E2" s="2" t="s">
        <v>4</v>
      </c>
      <c r="F2" s="2" t="s">
        <v>5</v>
      </c>
    </row>
    <row r="3" spans="2:9" x14ac:dyDescent="0.4">
      <c r="D3" s="2">
        <v>0</v>
      </c>
      <c r="E3" s="2">
        <v>2E-3</v>
      </c>
      <c r="F3" s="2">
        <v>4.0000000000000001E-3</v>
      </c>
    </row>
    <row r="4" spans="2:9" x14ac:dyDescent="0.4">
      <c r="D4" s="2">
        <v>0.5</v>
      </c>
      <c r="E4" s="2">
        <v>1.2E-2</v>
      </c>
      <c r="F4" s="2">
        <v>7.4833147735478833E-3</v>
      </c>
    </row>
    <row r="5" spans="2:9" x14ac:dyDescent="0.4">
      <c r="D5" s="2">
        <v>1</v>
      </c>
      <c r="E5" s="2">
        <v>2.1999999999999999E-2</v>
      </c>
      <c r="F5" s="2">
        <v>7.4833147735478885E-3</v>
      </c>
    </row>
    <row r="6" spans="2:9" x14ac:dyDescent="0.4">
      <c r="D6" s="2">
        <v>1.6666666666666665</v>
      </c>
      <c r="E6" s="2">
        <v>3.8000000000000006E-2</v>
      </c>
      <c r="F6" s="2">
        <v>7.4833147735478599E-3</v>
      </c>
    </row>
    <row r="7" spans="2:9" x14ac:dyDescent="0.4">
      <c r="D7" s="2">
        <v>2.1666666666666665</v>
      </c>
      <c r="E7" s="2">
        <v>7.0000000000000007E-2</v>
      </c>
      <c r="F7" s="2">
        <v>1.0954451150103328E-2</v>
      </c>
    </row>
    <row r="8" spans="2:9" x14ac:dyDescent="0.4">
      <c r="D8" s="2">
        <v>2.6666666666666665</v>
      </c>
      <c r="E8" s="2">
        <v>0.11599999999999999</v>
      </c>
      <c r="F8" s="2">
        <v>4.898979485566354E-3</v>
      </c>
    </row>
    <row r="9" spans="2:9" x14ac:dyDescent="0.4">
      <c r="D9" s="3">
        <v>3.1666666666666665</v>
      </c>
      <c r="E9" s="3">
        <v>0.24399999999999999</v>
      </c>
      <c r="F9" s="3">
        <v>4.8989794855663609E-3</v>
      </c>
    </row>
    <row r="10" spans="2:9" x14ac:dyDescent="0.4">
      <c r="D10" s="3">
        <v>3.75</v>
      </c>
      <c r="E10" s="3">
        <v>0.4</v>
      </c>
      <c r="F10" s="3">
        <v>1.0954451150103312E-2</v>
      </c>
    </row>
    <row r="11" spans="2:9" x14ac:dyDescent="0.4">
      <c r="D11" s="3">
        <v>4.25</v>
      </c>
      <c r="E11" s="3">
        <v>0.51800000000000002</v>
      </c>
      <c r="F11" s="3">
        <v>7.4833147735478894E-3</v>
      </c>
    </row>
    <row r="12" spans="2:9" x14ac:dyDescent="0.4">
      <c r="D12" s="3">
        <v>4.75</v>
      </c>
      <c r="E12" s="3">
        <v>0.64600000000000013</v>
      </c>
      <c r="F12" s="3">
        <v>4.89897948556636E-3</v>
      </c>
    </row>
    <row r="13" spans="2:9" x14ac:dyDescent="0.4">
      <c r="D13" s="3">
        <v>5.25</v>
      </c>
      <c r="E13" s="3">
        <v>0.78400000000000003</v>
      </c>
      <c r="F13" s="3">
        <v>8.0000000000000071E-3</v>
      </c>
    </row>
    <row r="14" spans="2:9" x14ac:dyDescent="0.4">
      <c r="D14" s="3">
        <v>5.75</v>
      </c>
      <c r="E14" s="3">
        <v>0.92400000000000004</v>
      </c>
      <c r="F14" s="3">
        <v>8.0000000000000071E-3</v>
      </c>
    </row>
    <row r="15" spans="2:9" x14ac:dyDescent="0.4">
      <c r="D15" s="3">
        <v>6.25</v>
      </c>
      <c r="E15" s="3">
        <v>1.0740000000000001</v>
      </c>
      <c r="F15" s="3">
        <v>8.0000000000000071E-3</v>
      </c>
    </row>
    <row r="16" spans="2:9" x14ac:dyDescent="0.4">
      <c r="D16" s="3">
        <v>6.75</v>
      </c>
      <c r="E16" s="3">
        <v>1.2040000000000002</v>
      </c>
      <c r="F16" s="3">
        <v>1.0198039027185579E-2</v>
      </c>
    </row>
    <row r="17" spans="4:6" x14ac:dyDescent="0.4">
      <c r="D17" s="3">
        <v>7.25</v>
      </c>
      <c r="E17" s="3">
        <v>1.36</v>
      </c>
      <c r="F17" s="3">
        <v>6.324555320336764E-3</v>
      </c>
    </row>
    <row r="18" spans="4:6" x14ac:dyDescent="0.4">
      <c r="D18" s="3">
        <v>7.75</v>
      </c>
      <c r="E18" s="3">
        <v>1.518</v>
      </c>
      <c r="F18" s="3">
        <v>7.4833147735478894E-3</v>
      </c>
    </row>
    <row r="19" spans="4:6" x14ac:dyDescent="0.4">
      <c r="D19" s="3">
        <v>8.25</v>
      </c>
      <c r="E19" s="3">
        <v>1.6379999999999999</v>
      </c>
      <c r="F19" s="3">
        <v>4.0000000000000036E-3</v>
      </c>
    </row>
    <row r="20" spans="4:6" x14ac:dyDescent="0.4">
      <c r="D20" s="3">
        <v>8.75</v>
      </c>
      <c r="E20" s="3">
        <v>1.7119999999999997</v>
      </c>
      <c r="F20" s="3">
        <v>7.4833147735478894E-3</v>
      </c>
    </row>
    <row r="21" spans="4:6" x14ac:dyDescent="0.4">
      <c r="D21" s="3">
        <v>9.25</v>
      </c>
      <c r="E21" s="3">
        <v>1.78</v>
      </c>
      <c r="F21" s="3">
        <v>6.324555320336764E-3</v>
      </c>
    </row>
    <row r="22" spans="4:6" x14ac:dyDescent="0.4">
      <c r="D22" s="3">
        <v>9.75</v>
      </c>
      <c r="E22" s="3">
        <v>1.8539999999999999</v>
      </c>
      <c r="F22" s="3">
        <v>8.0000000000000071E-3</v>
      </c>
    </row>
    <row r="23" spans="4:6" x14ac:dyDescent="0.4">
      <c r="D23" s="3">
        <v>10.25</v>
      </c>
      <c r="E23" s="3">
        <v>1.9099999999999997</v>
      </c>
      <c r="F23" s="3">
        <v>6.324555320336764E-3</v>
      </c>
    </row>
    <row r="24" spans="4:6" x14ac:dyDescent="0.4">
      <c r="D24" s="2">
        <v>10.75</v>
      </c>
      <c r="E24" s="2">
        <v>1.9600000000000002</v>
      </c>
      <c r="F24" s="2">
        <v>1.0954451150103331E-2</v>
      </c>
    </row>
    <row r="25" spans="4:6" x14ac:dyDescent="0.4">
      <c r="D25" s="2">
        <v>11</v>
      </c>
      <c r="E25" s="2">
        <v>1.9740000000000002</v>
      </c>
      <c r="F25" s="2">
        <v>1.6248076809271934E-2</v>
      </c>
    </row>
  </sheetData>
  <mergeCells count="2">
    <mergeCell ref="D1:F1"/>
    <mergeCell ref="H1:I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9BF9F-15BA-4F0E-87CA-AF13C1797FEC}">
  <dimension ref="B2:G332"/>
  <sheetViews>
    <sheetView workbookViewId="0">
      <selection activeCell="J18" sqref="J18"/>
    </sheetView>
  </sheetViews>
  <sheetFormatPr defaultRowHeight="15" x14ac:dyDescent="0.45"/>
  <cols>
    <col min="2" max="2" width="14.35546875" bestFit="1" customWidth="1"/>
    <col min="3" max="3" width="16.42578125" bestFit="1" customWidth="1"/>
    <col min="4" max="4" width="11.2109375" bestFit="1" customWidth="1"/>
    <col min="5" max="5" width="16.42578125" bestFit="1" customWidth="1"/>
    <col min="6" max="6" width="11.2109375" bestFit="1" customWidth="1"/>
    <col min="7" max="7" width="12.28515625" bestFit="1" customWidth="1"/>
  </cols>
  <sheetData>
    <row r="2" spans="2:7" ht="15.4" thickBot="1" x14ac:dyDescent="0.5">
      <c r="B2" s="5" t="s">
        <v>7</v>
      </c>
      <c r="C2" s="5"/>
      <c r="D2" s="5"/>
      <c r="E2" s="6" t="s">
        <v>8</v>
      </c>
      <c r="F2" s="5" t="s">
        <v>1</v>
      </c>
      <c r="G2" s="5"/>
    </row>
    <row r="3" spans="2:7" x14ac:dyDescent="0.45">
      <c r="B3" s="7">
        <v>1</v>
      </c>
      <c r="C3" s="8" t="s">
        <v>9</v>
      </c>
      <c r="D3" s="9" t="s">
        <v>10</v>
      </c>
      <c r="E3" s="8" t="s">
        <v>9</v>
      </c>
      <c r="F3" s="9" t="s">
        <v>10</v>
      </c>
      <c r="G3" s="10" t="s">
        <v>11</v>
      </c>
    </row>
    <row r="4" spans="2:7" x14ac:dyDescent="0.45">
      <c r="B4" s="11" t="s">
        <v>12</v>
      </c>
      <c r="C4" s="12">
        <v>53</v>
      </c>
      <c r="D4" s="13">
        <f>IF(ISNUMBER(C4) = TRUE, C4*10^C$9*1000/C$10, "N/A")</f>
        <v>1060000</v>
      </c>
      <c r="E4" s="12">
        <v>4</v>
      </c>
      <c r="F4" s="13">
        <f>IF(ISNUMBER(E4) = TRUE, E4*10^E$9*1000/E$10, "N/A")</f>
        <v>800000</v>
      </c>
      <c r="G4" s="14">
        <v>0</v>
      </c>
    </row>
    <row r="5" spans="2:7" x14ac:dyDescent="0.45">
      <c r="B5" s="11" t="s">
        <v>13</v>
      </c>
      <c r="C5" s="12">
        <v>67</v>
      </c>
      <c r="D5" s="13">
        <f>IF(ISNUMBER(C5) = TRUE, C5*10^C$9*1000/C$10, "N/A")</f>
        <v>1340000</v>
      </c>
      <c r="E5" s="12">
        <v>7</v>
      </c>
      <c r="F5" s="13">
        <f>IF(ISNUMBER(E5) = TRUE, E5*10^E$9*1000/E$10, "N/A")</f>
        <v>1400000</v>
      </c>
      <c r="G5" s="14">
        <v>0</v>
      </c>
    </row>
    <row r="6" spans="2:7" x14ac:dyDescent="0.45">
      <c r="B6" s="11" t="s">
        <v>14</v>
      </c>
      <c r="C6" s="12">
        <v>59</v>
      </c>
      <c r="D6" s="13">
        <f>IF(ISNUMBER(C6) = TRUE, C6*10^C$9*1000/C$10, "N/A")</f>
        <v>1180000</v>
      </c>
      <c r="E6" s="12">
        <v>5</v>
      </c>
      <c r="F6" s="13">
        <f>IF(ISNUMBER(E6) = TRUE, E6*10^E$9*1000/E$10, "N/A")</f>
        <v>1000000</v>
      </c>
      <c r="G6" s="14">
        <v>0.01</v>
      </c>
    </row>
    <row r="7" spans="2:7" x14ac:dyDescent="0.45">
      <c r="B7" s="11" t="s">
        <v>15</v>
      </c>
      <c r="C7" s="12">
        <v>49</v>
      </c>
      <c r="D7" s="13">
        <f>IF(ISNUMBER(C7) = TRUE, C7*10^C$9*1000/C$10, "N/A")</f>
        <v>980000</v>
      </c>
      <c r="E7" s="12"/>
      <c r="F7" s="13" t="str">
        <f>IF(ISNUMBER(E7) = TRUE, E7*10^E$9*1000/E$10, "N/A")</f>
        <v>N/A</v>
      </c>
      <c r="G7" s="14">
        <v>0</v>
      </c>
    </row>
    <row r="8" spans="2:7" x14ac:dyDescent="0.45">
      <c r="B8" s="15" t="s">
        <v>16</v>
      </c>
      <c r="C8" s="16"/>
      <c r="D8" s="13" t="str">
        <f>IF(ISNUMBER(C8) = TRUE, C8*10^C$9*1000/C$10, "N/A")</f>
        <v>N/A</v>
      </c>
      <c r="E8" s="16"/>
      <c r="F8" s="13" t="str">
        <f>IF(ISNUMBER(E8) = TRUE, E8*10^E$9*1000/E$10, "N/A")</f>
        <v>N/A</v>
      </c>
      <c r="G8" s="17">
        <v>0</v>
      </c>
    </row>
    <row r="9" spans="2:7" x14ac:dyDescent="0.45">
      <c r="B9" s="18" t="s">
        <v>17</v>
      </c>
      <c r="C9" s="19">
        <v>2</v>
      </c>
      <c r="D9" s="20"/>
      <c r="E9" s="19">
        <v>3</v>
      </c>
      <c r="F9" s="20"/>
      <c r="G9" s="21" t="s">
        <v>18</v>
      </c>
    </row>
    <row r="10" spans="2:7" x14ac:dyDescent="0.45">
      <c r="B10" s="15" t="s">
        <v>19</v>
      </c>
      <c r="C10" s="22">
        <v>5</v>
      </c>
      <c r="D10" s="23"/>
      <c r="E10" s="22">
        <v>5</v>
      </c>
      <c r="F10" s="23"/>
      <c r="G10" s="14">
        <f>_xlfn.STDEV.P(G4:G8)</f>
        <v>4.0000000000000001E-3</v>
      </c>
    </row>
    <row r="11" spans="2:7" x14ac:dyDescent="0.45">
      <c r="B11" s="11" t="s">
        <v>20</v>
      </c>
      <c r="C11" s="12">
        <f>IF(ISBLANK(E4) = FALSE, (_xlfn.STDEV.P(D4:D8)^2+_xlfn.STDEV.P(F4:F8)^2)^(1/2), _xlfn.STDEV.P(D4:D8))</f>
        <v>283940.52585395804</v>
      </c>
      <c r="D11" s="24" t="s">
        <v>21</v>
      </c>
      <c r="E11" s="25">
        <v>0</v>
      </c>
      <c r="F11" s="26">
        <v>0</v>
      </c>
      <c r="G11" s="21" t="s">
        <v>22</v>
      </c>
    </row>
    <row r="12" spans="2:7" x14ac:dyDescent="0.45">
      <c r="B12" s="11" t="s">
        <v>23</v>
      </c>
      <c r="C12" s="12">
        <f>IF(ISBLANK(E4) = FALSE, (AVERAGE(D4:D8)+AVERAGE(F4:F8))/2, AVERAGE(D4:D8))</f>
        <v>1103333.3333333335</v>
      </c>
      <c r="D12" s="24" t="s">
        <v>24</v>
      </c>
      <c r="E12" s="27">
        <v>0.61250000000000004</v>
      </c>
      <c r="F12" s="28"/>
      <c r="G12" s="29">
        <f>AVERAGE(G4:G8)</f>
        <v>2E-3</v>
      </c>
    </row>
    <row r="13" spans="2:7" ht="15.4" thickBot="1" x14ac:dyDescent="0.5">
      <c r="B13" s="30" t="s">
        <v>25</v>
      </c>
      <c r="C13" s="31">
        <v>5</v>
      </c>
      <c r="D13" s="32" t="s">
        <v>26</v>
      </c>
      <c r="E13" s="33">
        <f>C12/C13</f>
        <v>220666.66666666669</v>
      </c>
      <c r="F13" s="34"/>
      <c r="G13" s="35"/>
    </row>
    <row r="14" spans="2:7" x14ac:dyDescent="0.45">
      <c r="B14" s="7">
        <v>2</v>
      </c>
      <c r="C14" s="8" t="s">
        <v>9</v>
      </c>
      <c r="D14" s="9" t="s">
        <v>10</v>
      </c>
      <c r="E14" s="8" t="s">
        <v>9</v>
      </c>
      <c r="F14" s="9" t="s">
        <v>10</v>
      </c>
      <c r="G14" s="10" t="s">
        <v>11</v>
      </c>
    </row>
    <row r="15" spans="2:7" x14ac:dyDescent="0.45">
      <c r="B15" s="11" t="s">
        <v>12</v>
      </c>
      <c r="C15" s="12"/>
      <c r="D15" s="13" t="str">
        <f>IF(ISNUMBER(C15) = TRUE, C15*10^C$20*1000/C$21, "N/A")</f>
        <v>N/A</v>
      </c>
      <c r="E15" s="12"/>
      <c r="F15" s="13" t="str">
        <f>IF(ISNUMBER(E15) = TRUE, E15*10^E$20*1000/E$21, "N/A")</f>
        <v>N/A</v>
      </c>
      <c r="G15" s="14">
        <v>0.01</v>
      </c>
    </row>
    <row r="16" spans="2:7" x14ac:dyDescent="0.45">
      <c r="B16" s="11" t="s">
        <v>13</v>
      </c>
      <c r="C16" s="12"/>
      <c r="D16" s="13" t="str">
        <f>IF(ISNUMBER(C16) = TRUE, C16*10^C$9*1000/C$10, "N/A")</f>
        <v>N/A</v>
      </c>
      <c r="E16" s="12"/>
      <c r="F16" s="13" t="str">
        <f>IF(ISNUMBER(E16) = TRUE, E16*10^E$20*1000/E$21, "N/A")</f>
        <v>N/A</v>
      </c>
      <c r="G16" s="14">
        <v>0.01</v>
      </c>
    </row>
    <row r="17" spans="2:7" x14ac:dyDescent="0.45">
      <c r="B17" s="11" t="s">
        <v>14</v>
      </c>
      <c r="C17" s="12"/>
      <c r="D17" s="13" t="str">
        <f>IF(ISNUMBER(C17) = TRUE, C17*10^C$9*1000/C$10, "N/A")</f>
        <v>N/A</v>
      </c>
      <c r="E17" s="12"/>
      <c r="F17" s="13" t="str">
        <f>IF(ISNUMBER(E17) = TRUE, E17*10^E$20*1000/E$21, "N/A")</f>
        <v>N/A</v>
      </c>
      <c r="G17" s="14">
        <v>0.02</v>
      </c>
    </row>
    <row r="18" spans="2:7" x14ac:dyDescent="0.45">
      <c r="B18" s="11" t="s">
        <v>15</v>
      </c>
      <c r="C18" s="12"/>
      <c r="D18" s="13" t="str">
        <f>IF(ISNUMBER(C18) = TRUE, C18*10^C$9*1000/C$10, "N/A")</f>
        <v>N/A</v>
      </c>
      <c r="E18" s="12"/>
      <c r="F18" s="13" t="str">
        <f>IF(ISNUMBER(E18) = TRUE, E18*10^E$20*1000/E$21, "N/A")</f>
        <v>N/A</v>
      </c>
      <c r="G18" s="14">
        <v>0.02</v>
      </c>
    </row>
    <row r="19" spans="2:7" x14ac:dyDescent="0.45">
      <c r="B19" s="15" t="s">
        <v>16</v>
      </c>
      <c r="C19" s="16"/>
      <c r="D19" s="13" t="str">
        <f>IF(ISNUMBER(C19) = TRUE, C19*10^C$9*1000/C$10, "N/A")</f>
        <v>N/A</v>
      </c>
      <c r="E19" s="16"/>
      <c r="F19" s="13" t="str">
        <f>IF(ISNUMBER(E19) = TRUE, E19*10^E$20*1000/E$21, "N/A")</f>
        <v>N/A</v>
      </c>
      <c r="G19" s="17">
        <v>0</v>
      </c>
    </row>
    <row r="20" spans="2:7" x14ac:dyDescent="0.45">
      <c r="B20" s="18" t="s">
        <v>17</v>
      </c>
      <c r="C20" s="19"/>
      <c r="D20" s="20"/>
      <c r="E20" s="19"/>
      <c r="F20" s="20"/>
      <c r="G20" s="21" t="s">
        <v>18</v>
      </c>
    </row>
    <row r="21" spans="2:7" x14ac:dyDescent="0.45">
      <c r="B21" s="15" t="s">
        <v>19</v>
      </c>
      <c r="C21" s="22">
        <v>5</v>
      </c>
      <c r="D21" s="23"/>
      <c r="E21" s="22">
        <v>5</v>
      </c>
      <c r="F21" s="23"/>
      <c r="G21" s="14">
        <f>_xlfn.STDEV.P(G15:G19)</f>
        <v>7.4833147735478833E-3</v>
      </c>
    </row>
    <row r="22" spans="2:7" x14ac:dyDescent="0.45">
      <c r="B22" s="11" t="s">
        <v>20</v>
      </c>
      <c r="C22" s="12" t="e">
        <f>IF(ISBLANK(E15) = FALSE, (_xlfn.STDEV.P(D15:D19)^2+_xlfn.STDEV.P(F15:F19)^2)^(1/2), _xlfn.STDEV.P(D15:D19))</f>
        <v>#DIV/0!</v>
      </c>
      <c r="D22" s="24" t="s">
        <v>21</v>
      </c>
      <c r="E22" s="25">
        <f>E11+0.5</f>
        <v>0.5</v>
      </c>
      <c r="F22" s="26">
        <f>F11+0.5</f>
        <v>0.5</v>
      </c>
      <c r="G22" s="21" t="s">
        <v>22</v>
      </c>
    </row>
    <row r="23" spans="2:7" x14ac:dyDescent="0.45">
      <c r="B23" s="11" t="s">
        <v>23</v>
      </c>
      <c r="C23" s="12" t="e">
        <f>AVERAGE(D15:D19,F15:F19)</f>
        <v>#DIV/0!</v>
      </c>
      <c r="D23" s="24" t="s">
        <v>24</v>
      </c>
      <c r="E23" s="27">
        <f>E12+0.5/24</f>
        <v>0.63333333333333341</v>
      </c>
      <c r="F23" s="28"/>
      <c r="G23" s="29">
        <f>AVERAGE(G15:G19)</f>
        <v>1.2E-2</v>
      </c>
    </row>
    <row r="24" spans="2:7" ht="15.4" thickBot="1" x14ac:dyDescent="0.5">
      <c r="B24" s="30" t="s">
        <v>25</v>
      </c>
      <c r="C24" s="31">
        <f>IF(ISNUMBER(C12) = FALSE, C13, C13-0.1)</f>
        <v>4.9000000000000004</v>
      </c>
      <c r="D24" s="32" t="s">
        <v>26</v>
      </c>
      <c r="E24" s="33" t="e">
        <f>C23/C24</f>
        <v>#DIV/0!</v>
      </c>
      <c r="F24" s="34"/>
      <c r="G24" s="35"/>
    </row>
    <row r="25" spans="2:7" x14ac:dyDescent="0.45">
      <c r="B25" s="7">
        <v>3</v>
      </c>
      <c r="C25" s="8" t="s">
        <v>9</v>
      </c>
      <c r="D25" s="9" t="s">
        <v>10</v>
      </c>
      <c r="E25" s="8" t="s">
        <v>9</v>
      </c>
      <c r="F25" s="9" t="s">
        <v>10</v>
      </c>
      <c r="G25" s="10" t="s">
        <v>11</v>
      </c>
    </row>
    <row r="26" spans="2:7" x14ac:dyDescent="0.45">
      <c r="B26" s="11" t="s">
        <v>12</v>
      </c>
      <c r="C26" s="12">
        <v>100</v>
      </c>
      <c r="D26" s="13">
        <f>IF(ISNUMBER(C26) = TRUE, C26*10^C$31*1000/C$32, "N/A")</f>
        <v>2000000</v>
      </c>
      <c r="E26" s="12">
        <v>12</v>
      </c>
      <c r="F26" s="13">
        <f>IF(ISNUMBER(E26) = TRUE, E26*10^E$31*1000/E$32, "N/A")</f>
        <v>2400000</v>
      </c>
      <c r="G26" s="14">
        <v>0.02</v>
      </c>
    </row>
    <row r="27" spans="2:7" x14ac:dyDescent="0.45">
      <c r="B27" s="11" t="s">
        <v>13</v>
      </c>
      <c r="C27" s="12">
        <v>99</v>
      </c>
      <c r="D27" s="13">
        <f>IF(ISNUMBER(C27) = TRUE, C27*10^C$9*1000/C$10, "N/A")</f>
        <v>1980000</v>
      </c>
      <c r="E27" s="12">
        <v>8</v>
      </c>
      <c r="F27" s="13">
        <f>IF(ISNUMBER(E27) = TRUE, E27*10^E$31*1000/E$32, "N/A")</f>
        <v>1600000</v>
      </c>
      <c r="G27" s="14">
        <v>0.01</v>
      </c>
    </row>
    <row r="28" spans="2:7" x14ac:dyDescent="0.45">
      <c r="B28" s="11" t="s">
        <v>14</v>
      </c>
      <c r="C28" s="12">
        <v>99</v>
      </c>
      <c r="D28" s="13">
        <f>IF(ISNUMBER(C28) = TRUE, C28*10^C$9*1000/C$10, "N/A")</f>
        <v>1980000</v>
      </c>
      <c r="E28" s="12">
        <v>12</v>
      </c>
      <c r="F28" s="13">
        <f>IF(ISNUMBER(E28) = TRUE, E28*10^E$31*1000/E$32, "N/A")</f>
        <v>2400000</v>
      </c>
      <c r="G28" s="14">
        <v>0.02</v>
      </c>
    </row>
    <row r="29" spans="2:7" x14ac:dyDescent="0.45">
      <c r="B29" s="11" t="s">
        <v>15</v>
      </c>
      <c r="C29" s="12">
        <v>93</v>
      </c>
      <c r="D29" s="13">
        <f>IF(ISNUMBER(C29) = TRUE, C29*10^C$9*1000/C$10, "N/A")</f>
        <v>1860000</v>
      </c>
      <c r="E29" s="12"/>
      <c r="F29" s="13" t="str">
        <f>IF(ISNUMBER(E29) = TRUE, E29*10^E$31*1000/E$32, "N/A")</f>
        <v>N/A</v>
      </c>
      <c r="G29" s="14">
        <v>0.03</v>
      </c>
    </row>
    <row r="30" spans="2:7" x14ac:dyDescent="0.45">
      <c r="B30" s="15" t="s">
        <v>16</v>
      </c>
      <c r="C30" s="16"/>
      <c r="D30" s="13" t="str">
        <f>IF(ISNUMBER(C30) = TRUE, C30*10^C$9*1000/C$10, "N/A")</f>
        <v>N/A</v>
      </c>
      <c r="E30" s="16"/>
      <c r="F30" s="13" t="str">
        <f>IF(ISNUMBER(E30) = TRUE, E30*10^E$31*1000/E$32, "N/A")</f>
        <v>N/A</v>
      </c>
      <c r="G30" s="17">
        <v>0.03</v>
      </c>
    </row>
    <row r="31" spans="2:7" x14ac:dyDescent="0.45">
      <c r="B31" s="18" t="s">
        <v>17</v>
      </c>
      <c r="C31" s="19">
        <v>2</v>
      </c>
      <c r="D31" s="20"/>
      <c r="E31" s="19">
        <v>3</v>
      </c>
      <c r="F31" s="20"/>
      <c r="G31" s="21" t="s">
        <v>18</v>
      </c>
    </row>
    <row r="32" spans="2:7" x14ac:dyDescent="0.45">
      <c r="B32" s="15" t="s">
        <v>19</v>
      </c>
      <c r="C32" s="22">
        <v>5</v>
      </c>
      <c r="D32" s="23"/>
      <c r="E32" s="22">
        <v>5</v>
      </c>
      <c r="F32" s="23"/>
      <c r="G32" s="14">
        <f>_xlfn.STDEV.P(G26:G30)</f>
        <v>7.4833147735478885E-3</v>
      </c>
    </row>
    <row r="33" spans="2:7" x14ac:dyDescent="0.45">
      <c r="B33" s="11" t="s">
        <v>20</v>
      </c>
      <c r="C33" s="12">
        <f>IF(ISBLANK(E26) = FALSE, (_xlfn.STDEV.P(D26:D30)^2+_xlfn.STDEV.P(F26:F30)^2)^(1/2), _xlfn.STDEV.P(D26:D30))</f>
        <v>381178.72739991959</v>
      </c>
      <c r="D33" s="24" t="s">
        <v>21</v>
      </c>
      <c r="E33" s="25">
        <f>E22+0.5</f>
        <v>1</v>
      </c>
      <c r="F33" s="26">
        <f>F22+0.5</f>
        <v>1</v>
      </c>
      <c r="G33" s="21" t="s">
        <v>22</v>
      </c>
    </row>
    <row r="34" spans="2:7" x14ac:dyDescent="0.45">
      <c r="B34" s="11" t="s">
        <v>23</v>
      </c>
      <c r="C34" s="12">
        <f>IF(ISBLANK(E26) = FALSE, (AVERAGE(D26:D30)+AVERAGE(F26:F30))/2, AVERAGE(D26:D30))</f>
        <v>2044166.6666666667</v>
      </c>
      <c r="D34" s="24" t="s">
        <v>24</v>
      </c>
      <c r="E34" s="27">
        <f>E23+0.5/24</f>
        <v>0.65416666666666679</v>
      </c>
      <c r="F34" s="28"/>
      <c r="G34" s="29">
        <f>AVERAGE(G26:G30)</f>
        <v>2.1999999999999999E-2</v>
      </c>
    </row>
    <row r="35" spans="2:7" ht="15.4" thickBot="1" x14ac:dyDescent="0.5">
      <c r="B35" s="30" t="s">
        <v>25</v>
      </c>
      <c r="C35" s="31">
        <f>IF(ISNUMBER(C23) = FALSE, C24, C24-0.1)</f>
        <v>4.9000000000000004</v>
      </c>
      <c r="D35" s="32" t="s">
        <v>26</v>
      </c>
      <c r="E35" s="33">
        <f>C34/C35</f>
        <v>417176.87074829929</v>
      </c>
      <c r="F35" s="34"/>
      <c r="G35" s="35"/>
    </row>
    <row r="36" spans="2:7" x14ac:dyDescent="0.45">
      <c r="B36" s="7">
        <v>4</v>
      </c>
      <c r="C36" s="8" t="s">
        <v>9</v>
      </c>
      <c r="D36" s="9" t="s">
        <v>10</v>
      </c>
      <c r="E36" s="8" t="s">
        <v>9</v>
      </c>
      <c r="F36" s="9" t="s">
        <v>10</v>
      </c>
      <c r="G36" s="10" t="s">
        <v>11</v>
      </c>
    </row>
    <row r="37" spans="2:7" x14ac:dyDescent="0.45">
      <c r="B37" s="11" t="s">
        <v>12</v>
      </c>
      <c r="C37" s="12"/>
      <c r="D37" s="13" t="str">
        <f>IF(ISNUMBER(C37) = TRUE, C37*10^C$42*1000/C$43, "N/A")</f>
        <v>N/A</v>
      </c>
      <c r="E37" s="12"/>
      <c r="F37" s="13" t="str">
        <f>IF(ISNUMBER(E37) = TRUE, E37*10^E$42*1000/E$43, "N/A")</f>
        <v>N/A</v>
      </c>
      <c r="G37" s="14">
        <v>0.03</v>
      </c>
    </row>
    <row r="38" spans="2:7" x14ac:dyDescent="0.45">
      <c r="B38" s="11" t="s">
        <v>13</v>
      </c>
      <c r="C38" s="12"/>
      <c r="D38" s="13" t="str">
        <f>IF(ISNUMBER(C38) = TRUE, C38*10^C$42*1000/C$43, "N/A")</f>
        <v>N/A</v>
      </c>
      <c r="E38" s="12"/>
      <c r="F38" s="13" t="str">
        <f>IF(ISNUMBER(E38) = TRUE, E38*10^E$42*1000/E$43, "N/A")</f>
        <v>N/A</v>
      </c>
      <c r="G38" s="14">
        <v>0.04</v>
      </c>
    </row>
    <row r="39" spans="2:7" x14ac:dyDescent="0.45">
      <c r="B39" s="11" t="s">
        <v>14</v>
      </c>
      <c r="C39" s="12"/>
      <c r="D39" s="13" t="str">
        <f>IF(ISNUMBER(C39) = TRUE, C39*10^C$42*1000/C$43, "N/A")</f>
        <v>N/A</v>
      </c>
      <c r="E39" s="12"/>
      <c r="F39" s="13" t="str">
        <f>IF(ISNUMBER(E39) = TRUE, E39*10^E$42*1000/E$43, "N/A")</f>
        <v>N/A</v>
      </c>
      <c r="G39" s="14">
        <v>0.05</v>
      </c>
    </row>
    <row r="40" spans="2:7" x14ac:dyDescent="0.45">
      <c r="B40" s="11" t="s">
        <v>15</v>
      </c>
      <c r="C40" s="12"/>
      <c r="D40" s="13" t="str">
        <f>IF(ISNUMBER(C40) = TRUE, C40*10^C$42*1000/C$43, "N/A")</f>
        <v>N/A</v>
      </c>
      <c r="E40" s="12"/>
      <c r="F40" s="13" t="str">
        <f>IF(ISNUMBER(E40) = TRUE, E40*10^E$42*1000/E$43, "N/A")</f>
        <v>N/A</v>
      </c>
      <c r="G40" s="14">
        <v>0.03</v>
      </c>
    </row>
    <row r="41" spans="2:7" x14ac:dyDescent="0.45">
      <c r="B41" s="15" t="s">
        <v>16</v>
      </c>
      <c r="C41" s="16"/>
      <c r="D41" s="13" t="str">
        <f>IF(ISNUMBER(C41) = TRUE, C41*10^C$42*1000/C$43, "N/A")</f>
        <v>N/A</v>
      </c>
      <c r="E41" s="16"/>
      <c r="F41" s="13" t="str">
        <f>IF(ISNUMBER(E41) = TRUE, E41*10^E$42*1000/E$43, "N/A")</f>
        <v>N/A</v>
      </c>
      <c r="G41" s="17">
        <v>0.04</v>
      </c>
    </row>
    <row r="42" spans="2:7" x14ac:dyDescent="0.45">
      <c r="B42" s="18" t="s">
        <v>17</v>
      </c>
      <c r="C42" s="19"/>
      <c r="D42" s="20"/>
      <c r="E42" s="19"/>
      <c r="F42" s="20"/>
      <c r="G42" s="21" t="s">
        <v>18</v>
      </c>
    </row>
    <row r="43" spans="2:7" x14ac:dyDescent="0.45">
      <c r="B43" s="15" t="s">
        <v>19</v>
      </c>
      <c r="C43" s="22">
        <v>5</v>
      </c>
      <c r="D43" s="23"/>
      <c r="E43" s="22">
        <v>5</v>
      </c>
      <c r="F43" s="23"/>
      <c r="G43" s="14">
        <f>_xlfn.STDEV.P(G37:G41)</f>
        <v>7.4833147735478599E-3</v>
      </c>
    </row>
    <row r="44" spans="2:7" x14ac:dyDescent="0.45">
      <c r="B44" s="11" t="s">
        <v>20</v>
      </c>
      <c r="C44" s="12" t="e">
        <f>_xlfn.STDEV.P(D37:D41,F37:F41)</f>
        <v>#DIV/0!</v>
      </c>
      <c r="D44" s="24" t="s">
        <v>21</v>
      </c>
      <c r="E44" s="25">
        <f>E33+4/6</f>
        <v>1.6666666666666665</v>
      </c>
      <c r="F44" s="26">
        <f>F33+0.5</f>
        <v>1.5</v>
      </c>
      <c r="G44" s="21" t="s">
        <v>22</v>
      </c>
    </row>
    <row r="45" spans="2:7" x14ac:dyDescent="0.45">
      <c r="B45" s="11" t="s">
        <v>23</v>
      </c>
      <c r="C45" s="12" t="e">
        <f>AVERAGE(D37:D41,F37:F41)</f>
        <v>#DIV/0!</v>
      </c>
      <c r="D45" s="24" t="s">
        <v>24</v>
      </c>
      <c r="E45" s="27">
        <v>0.68194444444444446</v>
      </c>
      <c r="F45" s="28"/>
      <c r="G45" s="29">
        <f>AVERAGE(G37:G41)</f>
        <v>3.8000000000000006E-2</v>
      </c>
    </row>
    <row r="46" spans="2:7" ht="15.4" thickBot="1" x14ac:dyDescent="0.5">
      <c r="B46" s="30" t="s">
        <v>25</v>
      </c>
      <c r="C46" s="31">
        <f>IF(ISNUMBER(C34) = FALSE, C35, C35-0.1)</f>
        <v>4.8000000000000007</v>
      </c>
      <c r="D46" s="32" t="s">
        <v>26</v>
      </c>
      <c r="E46" s="33" t="e">
        <f>C45/C46</f>
        <v>#DIV/0!</v>
      </c>
      <c r="F46" s="34"/>
      <c r="G46" s="35"/>
    </row>
    <row r="47" spans="2:7" x14ac:dyDescent="0.45">
      <c r="B47" s="7">
        <v>5</v>
      </c>
      <c r="C47" s="8" t="s">
        <v>9</v>
      </c>
      <c r="D47" s="9" t="s">
        <v>10</v>
      </c>
      <c r="E47" s="8" t="s">
        <v>9</v>
      </c>
      <c r="F47" s="9" t="s">
        <v>10</v>
      </c>
      <c r="G47" s="10" t="s">
        <v>11</v>
      </c>
    </row>
    <row r="48" spans="2:7" x14ac:dyDescent="0.45">
      <c r="B48" s="11" t="s">
        <v>12</v>
      </c>
      <c r="C48" s="12">
        <v>29</v>
      </c>
      <c r="D48" s="13">
        <f>IF(ISNUMBER(C48) = TRUE, C48*10^C$53*1000/C$54, "N/A")</f>
        <v>5800000</v>
      </c>
      <c r="E48" s="12"/>
      <c r="F48" s="13" t="str">
        <f>IF(ISNUMBER(E48) = TRUE, E48*10^E$53*1000/E$54, "N/A")</f>
        <v>N/A</v>
      </c>
      <c r="G48" s="14">
        <v>7.0000000000000007E-2</v>
      </c>
    </row>
    <row r="49" spans="2:7" x14ac:dyDescent="0.45">
      <c r="B49" s="11" t="s">
        <v>13</v>
      </c>
      <c r="C49" s="12">
        <v>32</v>
      </c>
      <c r="D49" s="13">
        <f>IF(ISNUMBER(C49) = TRUE, C49*10^C$53*1000/C$54, "N/A")</f>
        <v>6400000</v>
      </c>
      <c r="E49" s="12"/>
      <c r="F49" s="13" t="str">
        <f>IF(ISNUMBER(E49) = TRUE, E49*10^E$53*1000/E$54, "N/A")</f>
        <v>N/A</v>
      </c>
      <c r="G49" s="14">
        <v>7.0000000000000007E-2</v>
      </c>
    </row>
    <row r="50" spans="2:7" x14ac:dyDescent="0.45">
      <c r="B50" s="11" t="s">
        <v>14</v>
      </c>
      <c r="C50" s="12">
        <v>36</v>
      </c>
      <c r="D50" s="13">
        <f>IF(ISNUMBER(C50) = TRUE, C50*10^C$53*1000/C$54, "N/A")</f>
        <v>7200000</v>
      </c>
      <c r="E50" s="12"/>
      <c r="F50" s="13" t="str">
        <f>IF(ISNUMBER(E50) = TRUE, E50*10^E$53*1000/E$54, "N/A")</f>
        <v>N/A</v>
      </c>
      <c r="G50" s="14">
        <v>0.08</v>
      </c>
    </row>
    <row r="51" spans="2:7" x14ac:dyDescent="0.45">
      <c r="B51" s="11" t="s">
        <v>15</v>
      </c>
      <c r="C51" s="12">
        <v>24</v>
      </c>
      <c r="D51" s="13">
        <f>IF(ISNUMBER(C51) = TRUE, C51*10^C$53*1000/C$54, "N/A")</f>
        <v>4800000</v>
      </c>
      <c r="E51" s="12"/>
      <c r="F51" s="13" t="str">
        <f>IF(ISNUMBER(E51) = TRUE, E51*10^E$53*1000/E$54, "N/A")</f>
        <v>N/A</v>
      </c>
      <c r="G51" s="14">
        <v>0.08</v>
      </c>
    </row>
    <row r="52" spans="2:7" x14ac:dyDescent="0.45">
      <c r="B52" s="15" t="s">
        <v>16</v>
      </c>
      <c r="C52" s="16"/>
      <c r="D52" s="13" t="str">
        <f>IF(ISNUMBER(C52) = TRUE, C52*10^C$53*1000/C$54, "N/A")</f>
        <v>N/A</v>
      </c>
      <c r="E52" s="16"/>
      <c r="F52" s="13" t="str">
        <f>IF(ISNUMBER(E52) = TRUE, E52*10^E$53*1000/E$54, "N/A")</f>
        <v>N/A</v>
      </c>
      <c r="G52" s="17">
        <v>0.05</v>
      </c>
    </row>
    <row r="53" spans="2:7" x14ac:dyDescent="0.45">
      <c r="B53" s="18" t="s">
        <v>17</v>
      </c>
      <c r="C53" s="19">
        <v>3</v>
      </c>
      <c r="D53" s="20"/>
      <c r="E53" s="19"/>
      <c r="F53" s="20"/>
      <c r="G53" s="21" t="s">
        <v>18</v>
      </c>
    </row>
    <row r="54" spans="2:7" x14ac:dyDescent="0.45">
      <c r="B54" s="15" t="s">
        <v>19</v>
      </c>
      <c r="C54" s="22">
        <v>5</v>
      </c>
      <c r="D54" s="23"/>
      <c r="E54" s="22">
        <v>5</v>
      </c>
      <c r="F54" s="23"/>
      <c r="G54" s="14">
        <f>_xlfn.STDEV.P(G48:G52)</f>
        <v>1.0954451150103328E-2</v>
      </c>
    </row>
    <row r="55" spans="2:7" x14ac:dyDescent="0.45">
      <c r="B55" s="11" t="s">
        <v>20</v>
      </c>
      <c r="C55" s="12">
        <f>IF(ISBLANK(E48) = FALSE, (_xlfn.STDEV.P(D48:D52)^2+_xlfn.STDEV.P(F48:F52)^2)^(1/2), _xlfn.STDEV.P(D48:D52))</f>
        <v>876070.77339676162</v>
      </c>
      <c r="D55" s="24" t="s">
        <v>21</v>
      </c>
      <c r="E55" s="25">
        <f>E44+0.5</f>
        <v>2.1666666666666665</v>
      </c>
      <c r="F55" s="26">
        <f>F44+0.5</f>
        <v>2</v>
      </c>
      <c r="G55" s="21" t="s">
        <v>22</v>
      </c>
    </row>
    <row r="56" spans="2:7" x14ac:dyDescent="0.45">
      <c r="B56" s="11" t="s">
        <v>23</v>
      </c>
      <c r="C56" s="12">
        <f>IF(ISBLANK(E48) = FALSE, (AVERAGE(D48:D52)+AVERAGE(F48:F52))/2, AVERAGE(D48:D52))</f>
        <v>6050000</v>
      </c>
      <c r="D56" s="24" t="s">
        <v>24</v>
      </c>
      <c r="E56" s="27">
        <v>0.70277777777777772</v>
      </c>
      <c r="F56" s="28"/>
      <c r="G56" s="29">
        <f>AVERAGE(G48:G52)</f>
        <v>7.0000000000000007E-2</v>
      </c>
    </row>
    <row r="57" spans="2:7" ht="15.4" thickBot="1" x14ac:dyDescent="0.5">
      <c r="B57" s="30" t="s">
        <v>25</v>
      </c>
      <c r="C57" s="31">
        <f>IF(ISNUMBER(C45) = FALSE, C46, C46-0.1)</f>
        <v>4.8000000000000007</v>
      </c>
      <c r="D57" s="32" t="s">
        <v>26</v>
      </c>
      <c r="E57" s="33">
        <f>C56/C57</f>
        <v>1260416.6666666665</v>
      </c>
      <c r="F57" s="34"/>
      <c r="G57" s="35"/>
    </row>
    <row r="58" spans="2:7" x14ac:dyDescent="0.45">
      <c r="B58" s="7">
        <v>6</v>
      </c>
      <c r="C58" s="8" t="s">
        <v>9</v>
      </c>
      <c r="D58" s="9" t="s">
        <v>10</v>
      </c>
      <c r="E58" s="8" t="s">
        <v>9</v>
      </c>
      <c r="F58" s="9" t="s">
        <v>10</v>
      </c>
      <c r="G58" s="10" t="s">
        <v>11</v>
      </c>
    </row>
    <row r="59" spans="2:7" x14ac:dyDescent="0.45">
      <c r="B59" s="11" t="s">
        <v>12</v>
      </c>
      <c r="C59" s="12"/>
      <c r="D59" s="13" t="str">
        <f>IF(ISNUMBER(C59) = TRUE, C59*10^C$64*1000/C$65, "N/A")</f>
        <v>N/A</v>
      </c>
      <c r="E59" s="12"/>
      <c r="F59" s="13" t="str">
        <f>IF(ISNUMBER(E59) = TRUE, E59*10^E$64*1000/E$65, "N/A")</f>
        <v>N/A</v>
      </c>
      <c r="G59" s="14">
        <v>0.11</v>
      </c>
    </row>
    <row r="60" spans="2:7" x14ac:dyDescent="0.45">
      <c r="B60" s="11" t="s">
        <v>13</v>
      </c>
      <c r="C60" s="12"/>
      <c r="D60" s="13" t="str">
        <f>IF(ISNUMBER(C60) = TRUE, C60*10^C$64*1000/C$65, "N/A")</f>
        <v>N/A</v>
      </c>
      <c r="E60" s="12"/>
      <c r="F60" s="13" t="str">
        <f>IF(ISNUMBER(E60) = TRUE, E60*10^E$64*1000/E$65, "N/A")</f>
        <v>N/A</v>
      </c>
      <c r="G60" s="14">
        <v>0.12</v>
      </c>
    </row>
    <row r="61" spans="2:7" x14ac:dyDescent="0.45">
      <c r="B61" s="11" t="s">
        <v>14</v>
      </c>
      <c r="C61" s="12"/>
      <c r="D61" s="13" t="str">
        <f>IF(ISNUMBER(C61) = TRUE, C61*10^C$64*1000/C$65, "N/A")</f>
        <v>N/A</v>
      </c>
      <c r="E61" s="12"/>
      <c r="F61" s="13" t="str">
        <f>IF(ISNUMBER(E61) = TRUE, E61*10^E$64*1000/E$65, "N/A")</f>
        <v>N/A</v>
      </c>
      <c r="G61" s="14">
        <v>0.11</v>
      </c>
    </row>
    <row r="62" spans="2:7" x14ac:dyDescent="0.45">
      <c r="B62" s="11" t="s">
        <v>15</v>
      </c>
      <c r="C62" s="12"/>
      <c r="D62" s="13" t="str">
        <f>IF(ISNUMBER(C62) = TRUE, C62*10^C$64*1000/C$65, "N/A")</f>
        <v>N/A</v>
      </c>
      <c r="E62" s="12"/>
      <c r="F62" s="13" t="str">
        <f>IF(ISNUMBER(E62) = TRUE, E62*10^E$64*1000/E$65, "N/A")</f>
        <v>N/A</v>
      </c>
      <c r="G62" s="14">
        <v>0.12</v>
      </c>
    </row>
    <row r="63" spans="2:7" x14ac:dyDescent="0.45">
      <c r="B63" s="15" t="s">
        <v>16</v>
      </c>
      <c r="C63" s="16"/>
      <c r="D63" s="13" t="str">
        <f>IF(ISNUMBER(C63) = TRUE, C63*10^C$64*1000/C$65, "N/A")</f>
        <v>N/A</v>
      </c>
      <c r="E63" s="16"/>
      <c r="F63" s="13" t="str">
        <f>IF(ISNUMBER(E63) = TRUE, E63*10^E$64*1000/E$65, "N/A")</f>
        <v>N/A</v>
      </c>
      <c r="G63" s="17">
        <v>0.12</v>
      </c>
    </row>
    <row r="64" spans="2:7" x14ac:dyDescent="0.45">
      <c r="B64" s="18" t="s">
        <v>17</v>
      </c>
      <c r="C64" s="19"/>
      <c r="D64" s="20"/>
      <c r="E64" s="36"/>
      <c r="F64" s="20"/>
      <c r="G64" s="21" t="s">
        <v>18</v>
      </c>
    </row>
    <row r="65" spans="2:7" x14ac:dyDescent="0.45">
      <c r="B65" s="15" t="s">
        <v>19</v>
      </c>
      <c r="C65" s="22">
        <v>5</v>
      </c>
      <c r="D65" s="23"/>
      <c r="E65" s="37">
        <v>5</v>
      </c>
      <c r="F65" s="23"/>
      <c r="G65" s="14">
        <f>_xlfn.STDEV.P(G59:G63)</f>
        <v>4.898979485566354E-3</v>
      </c>
    </row>
    <row r="66" spans="2:7" x14ac:dyDescent="0.45">
      <c r="B66" s="11" t="s">
        <v>20</v>
      </c>
      <c r="C66" s="12" t="e">
        <f>_xlfn.STDEV.P(D59:D63,F59:F63)</f>
        <v>#DIV/0!</v>
      </c>
      <c r="D66" s="24" t="s">
        <v>21</v>
      </c>
      <c r="E66" s="25">
        <f>E55+0.5</f>
        <v>2.6666666666666665</v>
      </c>
      <c r="F66" s="26">
        <f>F55+0.5</f>
        <v>2.5</v>
      </c>
      <c r="G66" s="21" t="s">
        <v>22</v>
      </c>
    </row>
    <row r="67" spans="2:7" x14ac:dyDescent="0.45">
      <c r="B67" s="11" t="s">
        <v>23</v>
      </c>
      <c r="C67" s="12" t="e">
        <f>AVERAGE(D59:D63,F59:F63)</f>
        <v>#DIV/0!</v>
      </c>
      <c r="D67" s="24" t="s">
        <v>24</v>
      </c>
      <c r="E67" s="38">
        <f>E56+0.5/24</f>
        <v>0.72361111111111109</v>
      </c>
      <c r="F67" s="13"/>
      <c r="G67" s="29">
        <f>AVERAGE(G59:G63)</f>
        <v>0.11599999999999999</v>
      </c>
    </row>
    <row r="68" spans="2:7" ht="15.4" thickBot="1" x14ac:dyDescent="0.5">
      <c r="B68" s="30" t="s">
        <v>25</v>
      </c>
      <c r="C68" s="31">
        <f>IF(ISNUMBER(C56) = FALSE, C57, C57-0.1)</f>
        <v>4.7000000000000011</v>
      </c>
      <c r="D68" s="32" t="s">
        <v>26</v>
      </c>
      <c r="E68" s="39" t="e">
        <f>C67/C68</f>
        <v>#DIV/0!</v>
      </c>
      <c r="F68" s="40"/>
      <c r="G68" s="35"/>
    </row>
    <row r="69" spans="2:7" x14ac:dyDescent="0.45">
      <c r="B69" s="7">
        <v>7</v>
      </c>
      <c r="C69" s="8" t="s">
        <v>9</v>
      </c>
      <c r="D69" s="9" t="s">
        <v>10</v>
      </c>
      <c r="E69" s="8" t="s">
        <v>9</v>
      </c>
      <c r="F69" s="9" t="s">
        <v>10</v>
      </c>
      <c r="G69" s="10" t="s">
        <v>11</v>
      </c>
    </row>
    <row r="70" spans="2:7" x14ac:dyDescent="0.45">
      <c r="B70" s="11" t="s">
        <v>12</v>
      </c>
      <c r="C70" s="12">
        <v>54</v>
      </c>
      <c r="D70" s="13">
        <f>IF(ISNUMBER(C70) = TRUE, C70*10^C$75*1000/C$76, "N/A")</f>
        <v>108000000</v>
      </c>
      <c r="E70" s="12"/>
      <c r="F70" s="13" t="str">
        <f>IF(ISNUMBER(E70) = TRUE, E70*10^E$75*1000/E$76, "N/A")</f>
        <v>N/A</v>
      </c>
      <c r="G70" s="14">
        <v>0.24</v>
      </c>
    </row>
    <row r="71" spans="2:7" x14ac:dyDescent="0.45">
      <c r="B71" s="11" t="s">
        <v>13</v>
      </c>
      <c r="C71" s="12">
        <v>55</v>
      </c>
      <c r="D71" s="13">
        <f>IF(ISNUMBER(C71) = TRUE, C71*10^C$75*1000/C$76, "N/A")</f>
        <v>110000000</v>
      </c>
      <c r="E71" s="12"/>
      <c r="F71" s="13" t="str">
        <f>IF(ISNUMBER(E71) = TRUE, E71*10^E$75*1000/E$76, "N/A")</f>
        <v>N/A</v>
      </c>
      <c r="G71" s="14">
        <v>0.25</v>
      </c>
    </row>
    <row r="72" spans="2:7" x14ac:dyDescent="0.45">
      <c r="B72" s="11" t="s">
        <v>14</v>
      </c>
      <c r="C72" s="12">
        <v>53</v>
      </c>
      <c r="D72" s="13">
        <f>IF(ISNUMBER(C72) = TRUE, C72*10^C$75*1000/C$76, "N/A")</f>
        <v>106000000</v>
      </c>
      <c r="E72" s="12"/>
      <c r="F72" s="13" t="str">
        <f>IF(ISNUMBER(E72) = TRUE, E72*10^E$75*1000/E$76, "N/A")</f>
        <v>N/A</v>
      </c>
      <c r="G72" s="14">
        <v>0.25</v>
      </c>
    </row>
    <row r="73" spans="2:7" x14ac:dyDescent="0.45">
      <c r="B73" s="11" t="s">
        <v>15</v>
      </c>
      <c r="C73" s="12">
        <v>50</v>
      </c>
      <c r="D73" s="13">
        <f>IF(ISNUMBER(C73) = TRUE, C73*10^C$75*1000/C$76, "N/A")</f>
        <v>100000000</v>
      </c>
      <c r="E73" s="12"/>
      <c r="F73" s="13" t="str">
        <f>IF(ISNUMBER(E73) = TRUE, E73*10^E$75*1000/E$76, "N/A")</f>
        <v>N/A</v>
      </c>
      <c r="G73" s="14">
        <v>0.24</v>
      </c>
    </row>
    <row r="74" spans="2:7" x14ac:dyDescent="0.45">
      <c r="B74" s="15" t="s">
        <v>16</v>
      </c>
      <c r="C74" s="16"/>
      <c r="D74" s="13" t="str">
        <f>IF(ISNUMBER(C74) = TRUE, C74*10^C$75*1000/C$76, "N/A")</f>
        <v>N/A</v>
      </c>
      <c r="E74" s="16"/>
      <c r="F74" s="13" t="str">
        <f>IF(ISNUMBER(E74) = TRUE, E74*10^E$75*1000/E$76, "N/A")</f>
        <v>N/A</v>
      </c>
      <c r="G74" s="17">
        <v>0.24</v>
      </c>
    </row>
    <row r="75" spans="2:7" x14ac:dyDescent="0.45">
      <c r="B75" s="18" t="s">
        <v>17</v>
      </c>
      <c r="C75" s="19">
        <v>4</v>
      </c>
      <c r="D75" s="20"/>
      <c r="E75" s="36"/>
      <c r="F75" s="20"/>
      <c r="G75" s="21" t="s">
        <v>18</v>
      </c>
    </row>
    <row r="76" spans="2:7" x14ac:dyDescent="0.45">
      <c r="B76" s="15" t="s">
        <v>19</v>
      </c>
      <c r="C76" s="22">
        <v>5</v>
      </c>
      <c r="D76" s="23"/>
      <c r="E76" s="37">
        <v>5</v>
      </c>
      <c r="F76" s="23"/>
      <c r="G76" s="14">
        <f>_xlfn.STDEV.P(G70:G74)</f>
        <v>4.8989794855663609E-3</v>
      </c>
    </row>
    <row r="77" spans="2:7" x14ac:dyDescent="0.45">
      <c r="B77" s="11" t="s">
        <v>20</v>
      </c>
      <c r="C77" s="12">
        <f>IF(ISBLANK(E70) = FALSE, (_xlfn.STDEV.P(D70:D74)^2+_xlfn.STDEV.P(F70:F74)^2)^(1/2), _xlfn.STDEV.P(D70:D74))</f>
        <v>3741657.3867739416</v>
      </c>
      <c r="D77" s="24" t="s">
        <v>21</v>
      </c>
      <c r="E77" s="25">
        <f>E66+0.5</f>
        <v>3.1666666666666665</v>
      </c>
      <c r="F77" s="26">
        <f>F66+0.5</f>
        <v>3</v>
      </c>
      <c r="G77" s="21" t="s">
        <v>22</v>
      </c>
    </row>
    <row r="78" spans="2:7" x14ac:dyDescent="0.45">
      <c r="B78" s="11" t="s">
        <v>23</v>
      </c>
      <c r="C78" s="12">
        <f>IF(ISBLANK(E70) = FALSE, (AVERAGE(D70:D74)+AVERAGE(F70:F74))/2, AVERAGE(D70:D74))</f>
        <v>106000000</v>
      </c>
      <c r="D78" s="24" t="s">
        <v>24</v>
      </c>
      <c r="E78" s="38">
        <f>E67+0.5/24</f>
        <v>0.74444444444444446</v>
      </c>
      <c r="F78" s="13"/>
      <c r="G78" s="29">
        <f>AVERAGE(G70:G74)</f>
        <v>0.24399999999999999</v>
      </c>
    </row>
    <row r="79" spans="2:7" ht="15.4" thickBot="1" x14ac:dyDescent="0.5">
      <c r="B79" s="30" t="s">
        <v>25</v>
      </c>
      <c r="C79" s="31">
        <f>IF(ISNUMBER(C67) = FALSE, C68, C68-0.1)</f>
        <v>4.7000000000000011</v>
      </c>
      <c r="D79" s="32" t="s">
        <v>26</v>
      </c>
      <c r="E79" s="39">
        <f>C78/C79</f>
        <v>22553191.489361696</v>
      </c>
      <c r="F79" s="40"/>
      <c r="G79" s="35"/>
    </row>
    <row r="80" spans="2:7" x14ac:dyDescent="0.45">
      <c r="B80" s="7">
        <v>8</v>
      </c>
      <c r="C80" s="8" t="s">
        <v>9</v>
      </c>
      <c r="D80" s="9" t="s">
        <v>10</v>
      </c>
      <c r="E80" s="8" t="s">
        <v>9</v>
      </c>
      <c r="F80" s="9" t="s">
        <v>10</v>
      </c>
      <c r="G80" s="10" t="s">
        <v>11</v>
      </c>
    </row>
    <row r="81" spans="2:7" x14ac:dyDescent="0.45">
      <c r="B81" s="11" t="s">
        <v>12</v>
      </c>
      <c r="C81" s="12">
        <v>11</v>
      </c>
      <c r="D81" s="13">
        <f>IF(ISNUMBER(C81) = TRUE, C81*10^C86*1000/C87, "N/A")</f>
        <v>22000000</v>
      </c>
      <c r="E81" s="12"/>
      <c r="F81" s="13" t="str">
        <f>IF(ISNUMBER(E81) = TRUE, E81*10^E86*1000/E87, "N/A")</f>
        <v>N/A</v>
      </c>
      <c r="G81" s="14">
        <v>0.4</v>
      </c>
    </row>
    <row r="82" spans="2:7" x14ac:dyDescent="0.45">
      <c r="B82" s="11" t="s">
        <v>13</v>
      </c>
      <c r="C82" s="12">
        <v>18</v>
      </c>
      <c r="D82" s="13">
        <f>IF(ISNUMBER(C82) = TRUE, C82*10^C86*1000/C87, "N/A")</f>
        <v>36000000</v>
      </c>
      <c r="E82" s="12"/>
      <c r="F82" s="13" t="str">
        <f>IF(ISNUMBER(E82) = TRUE, E82*10^E86*1000/E87, "N/A")</f>
        <v>N/A</v>
      </c>
      <c r="G82" s="14">
        <v>0.4</v>
      </c>
    </row>
    <row r="83" spans="2:7" x14ac:dyDescent="0.45">
      <c r="B83" s="11" t="s">
        <v>14</v>
      </c>
      <c r="C83" s="12">
        <v>16</v>
      </c>
      <c r="D83" s="13">
        <f>IF(ISNUMBER(C83) = TRUE, C83*10^C86*1000/C87, "N/A")</f>
        <v>32000000</v>
      </c>
      <c r="E83" s="12"/>
      <c r="F83" s="13" t="str">
        <f>IF(ISNUMBER(E83) = TRUE, E83*10^E86*1000/E87, "N/A")</f>
        <v>N/A</v>
      </c>
      <c r="G83" s="14">
        <v>0.41</v>
      </c>
    </row>
    <row r="84" spans="2:7" x14ac:dyDescent="0.45">
      <c r="B84" s="11" t="s">
        <v>15</v>
      </c>
      <c r="C84" s="12">
        <v>13</v>
      </c>
      <c r="D84" s="13">
        <f>IF(ISNUMBER(C84) = TRUE, C84*10^C86*1000/C87, "N/A")</f>
        <v>26000000</v>
      </c>
      <c r="E84" s="12"/>
      <c r="F84" s="13" t="str">
        <f>IF(ISNUMBER(E84) = TRUE, E84*10^E86*1000/E87, "N/A")</f>
        <v>N/A</v>
      </c>
      <c r="G84" s="14">
        <v>0.41</v>
      </c>
    </row>
    <row r="85" spans="2:7" x14ac:dyDescent="0.45">
      <c r="B85" s="15" t="s">
        <v>16</v>
      </c>
      <c r="C85" s="16"/>
      <c r="D85" s="13" t="str">
        <f>IF(ISNUMBER(C85) = TRUE, C85*10^C86*1000/C87, "N/A")</f>
        <v>N/A</v>
      </c>
      <c r="E85" s="16"/>
      <c r="F85" s="13" t="str">
        <f>IF(ISNUMBER(E85) = TRUE, E85*10^E86*1000/E87, "N/A")</f>
        <v>N/A</v>
      </c>
      <c r="G85" s="17">
        <v>0.38</v>
      </c>
    </row>
    <row r="86" spans="2:7" x14ac:dyDescent="0.45">
      <c r="B86" s="18" t="s">
        <v>17</v>
      </c>
      <c r="C86" s="19">
        <v>4</v>
      </c>
      <c r="D86" s="20"/>
      <c r="E86" s="36"/>
      <c r="F86" s="20"/>
      <c r="G86" s="21" t="s">
        <v>18</v>
      </c>
    </row>
    <row r="87" spans="2:7" x14ac:dyDescent="0.45">
      <c r="B87" s="15" t="s">
        <v>19</v>
      </c>
      <c r="C87" s="22">
        <v>5</v>
      </c>
      <c r="D87" s="23"/>
      <c r="E87" s="37">
        <v>5</v>
      </c>
      <c r="F87" s="23"/>
      <c r="G87" s="14">
        <f>_xlfn.STDEV.P(G81:G85)</f>
        <v>1.0954451150103312E-2</v>
      </c>
    </row>
    <row r="88" spans="2:7" x14ac:dyDescent="0.45">
      <c r="B88" s="11" t="s">
        <v>20</v>
      </c>
      <c r="C88" s="12">
        <f>IF(ISBLANK(E81) = FALSE, (_xlfn.STDEV.P(D81:D85)^2+_xlfn.STDEV.P(F81:F85)^2)^(1/2), _xlfn.STDEV.P(D81:D85))</f>
        <v>5385164.8071345044</v>
      </c>
      <c r="D88" s="24" t="s">
        <v>21</v>
      </c>
      <c r="E88" s="25">
        <f>E77+35/60</f>
        <v>3.75</v>
      </c>
      <c r="F88" s="26">
        <f>F77+0.5</f>
        <v>3.5</v>
      </c>
      <c r="G88" s="21" t="s">
        <v>22</v>
      </c>
    </row>
    <row r="89" spans="2:7" x14ac:dyDescent="0.45">
      <c r="B89" s="11" t="s">
        <v>23</v>
      </c>
      <c r="C89" s="12">
        <f>IF(ISBLANK(E81) = FALSE, (AVERAGE(D81:D85)+AVERAGE(F81:F85))/2, AVERAGE(D81:D85))</f>
        <v>29000000</v>
      </c>
      <c r="D89" s="24" t="s">
        <v>24</v>
      </c>
      <c r="E89" s="38">
        <v>0.76875000000000004</v>
      </c>
      <c r="F89" s="13"/>
      <c r="G89" s="29">
        <f>AVERAGE(G81:G85)</f>
        <v>0.4</v>
      </c>
    </row>
    <row r="90" spans="2:7" ht="15.4" thickBot="1" x14ac:dyDescent="0.5">
      <c r="B90" s="30" t="s">
        <v>25</v>
      </c>
      <c r="C90" s="31">
        <f>IF(ISNUMBER(C78) = FALSE, C79, C79-0.1)</f>
        <v>4.6000000000000014</v>
      </c>
      <c r="D90" s="32" t="s">
        <v>26</v>
      </c>
      <c r="E90" s="39">
        <f>C89/C90</f>
        <v>6304347.8260869542</v>
      </c>
      <c r="F90" s="40"/>
      <c r="G90" s="35"/>
    </row>
    <row r="91" spans="2:7" x14ac:dyDescent="0.45">
      <c r="B91" s="7">
        <v>9</v>
      </c>
      <c r="C91" s="8" t="s">
        <v>9</v>
      </c>
      <c r="D91" s="9" t="s">
        <v>10</v>
      </c>
      <c r="E91" s="8" t="s">
        <v>9</v>
      </c>
      <c r="F91" s="9" t="s">
        <v>10</v>
      </c>
      <c r="G91" s="10" t="s">
        <v>11</v>
      </c>
    </row>
    <row r="92" spans="2:7" x14ac:dyDescent="0.45">
      <c r="B92" s="11" t="s">
        <v>12</v>
      </c>
      <c r="C92" s="12">
        <v>25</v>
      </c>
      <c r="D92" s="13">
        <f>IF(ISNUMBER(C92) = TRUE, C92*10^C97*1000/C98, "N/A")</f>
        <v>50000000</v>
      </c>
      <c r="E92" s="12"/>
      <c r="F92" s="13" t="str">
        <f>IF(ISNUMBER(E92) = TRUE, E92*10^E97*1000/E98, "N/A")</f>
        <v>N/A</v>
      </c>
      <c r="G92" s="14">
        <v>0.51</v>
      </c>
    </row>
    <row r="93" spans="2:7" x14ac:dyDescent="0.45">
      <c r="B93" s="11" t="s">
        <v>13</v>
      </c>
      <c r="C93" s="12">
        <v>21</v>
      </c>
      <c r="D93" s="13">
        <f>IF(ISNUMBER(C93) = TRUE, C93*10^C97*1000/C98, "N/A")</f>
        <v>42000000</v>
      </c>
      <c r="E93" s="12"/>
      <c r="F93" s="13" t="str">
        <f>IF(ISNUMBER(E93) = TRUE, E93*10^E97*1000/E98, "N/A")</f>
        <v>N/A</v>
      </c>
      <c r="G93" s="14">
        <v>0.52</v>
      </c>
    </row>
    <row r="94" spans="2:7" x14ac:dyDescent="0.45">
      <c r="B94" s="11" t="s">
        <v>14</v>
      </c>
      <c r="C94" s="12">
        <v>20</v>
      </c>
      <c r="D94" s="13">
        <f>IF(ISNUMBER(C94) = TRUE, C94*10^C97*1000/C98, "N/A")</f>
        <v>40000000</v>
      </c>
      <c r="E94" s="12"/>
      <c r="F94" s="13" t="str">
        <f>IF(ISNUMBER(E94) = TRUE, E94*10^E97*1000/E98, "N/A")</f>
        <v>N/A</v>
      </c>
      <c r="G94" s="14">
        <v>0.53</v>
      </c>
    </row>
    <row r="95" spans="2:7" x14ac:dyDescent="0.45">
      <c r="B95" s="11" t="s">
        <v>15</v>
      </c>
      <c r="C95" s="12">
        <v>21</v>
      </c>
      <c r="D95" s="13">
        <f>IF(ISNUMBER(C95) = TRUE, C95*10^C97*1000/C98, "N/A")</f>
        <v>42000000</v>
      </c>
      <c r="E95" s="12"/>
      <c r="F95" s="13" t="str">
        <f>IF(ISNUMBER(E95) = TRUE, E95*10^E97*1000/E98, "N/A")</f>
        <v>N/A</v>
      </c>
      <c r="G95" s="14">
        <v>0.51</v>
      </c>
    </row>
    <row r="96" spans="2:7" x14ac:dyDescent="0.45">
      <c r="B96" s="15" t="s">
        <v>16</v>
      </c>
      <c r="C96" s="16">
        <v>24</v>
      </c>
      <c r="D96" s="13">
        <f>IF(ISNUMBER(C96) = TRUE, C96*10^C97*1000/C98, "N/A")</f>
        <v>48000000</v>
      </c>
      <c r="E96" s="16"/>
      <c r="F96" s="13" t="str">
        <f>IF(ISNUMBER(E96) = TRUE, E96*10^E97*1000/E98, "N/A")</f>
        <v>N/A</v>
      </c>
      <c r="G96" s="17">
        <v>0.52</v>
      </c>
    </row>
    <row r="97" spans="2:7" x14ac:dyDescent="0.45">
      <c r="B97" s="18" t="s">
        <v>17</v>
      </c>
      <c r="C97" s="19">
        <v>4</v>
      </c>
      <c r="D97" s="20"/>
      <c r="E97" s="36"/>
      <c r="F97" s="20"/>
      <c r="G97" s="21" t="s">
        <v>18</v>
      </c>
    </row>
    <row r="98" spans="2:7" x14ac:dyDescent="0.45">
      <c r="B98" s="15" t="s">
        <v>19</v>
      </c>
      <c r="C98" s="22">
        <v>5</v>
      </c>
      <c r="D98" s="23"/>
      <c r="E98" s="37">
        <v>5</v>
      </c>
      <c r="F98" s="23"/>
      <c r="G98" s="14">
        <f>_xlfn.STDEV.P(G92:G96)</f>
        <v>7.4833147735478894E-3</v>
      </c>
    </row>
    <row r="99" spans="2:7" x14ac:dyDescent="0.45">
      <c r="B99" s="11" t="s">
        <v>20</v>
      </c>
      <c r="C99" s="12">
        <f>IF(ISBLANK(E92) = FALSE, (_xlfn.STDEV.P(D92:D96)^2+_xlfn.STDEV.P(F92:F96)^2)^(1/2), _xlfn.STDEV.P(D92:D96))</f>
        <v>3878143.885933063</v>
      </c>
      <c r="D99" s="24" t="s">
        <v>21</v>
      </c>
      <c r="E99" s="25">
        <f>E88+0.5</f>
        <v>4.25</v>
      </c>
      <c r="F99" s="26">
        <f>F88+0.5</f>
        <v>4</v>
      </c>
      <c r="G99" s="21" t="s">
        <v>22</v>
      </c>
    </row>
    <row r="100" spans="2:7" x14ac:dyDescent="0.45">
      <c r="B100" s="11" t="s">
        <v>23</v>
      </c>
      <c r="C100" s="12">
        <f>IF(ISBLANK(E92) = FALSE, (AVERAGE(D92:D96)+AVERAGE(F92:F96))/2, AVERAGE(D92:D96))</f>
        <v>44400000</v>
      </c>
      <c r="D100" s="24" t="s">
        <v>24</v>
      </c>
      <c r="E100" s="38">
        <f>E89+0.5/24</f>
        <v>0.78958333333333341</v>
      </c>
      <c r="F100" s="13"/>
      <c r="G100" s="29">
        <f>AVERAGE(G92:G96)</f>
        <v>0.51800000000000002</v>
      </c>
    </row>
    <row r="101" spans="2:7" ht="15.4" thickBot="1" x14ac:dyDescent="0.5">
      <c r="B101" s="30" t="s">
        <v>25</v>
      </c>
      <c r="C101" s="31">
        <f>IF(ISNUMBER(C89) = FALSE, C90, C90-0.1)</f>
        <v>4.5000000000000018</v>
      </c>
      <c r="D101" s="32" t="s">
        <v>26</v>
      </c>
      <c r="E101" s="39">
        <f>C100/C101</f>
        <v>9866666.6666666623</v>
      </c>
      <c r="F101" s="40"/>
      <c r="G101" s="35"/>
    </row>
    <row r="102" spans="2:7" x14ac:dyDescent="0.45">
      <c r="B102" s="7">
        <v>10</v>
      </c>
      <c r="C102" s="8" t="s">
        <v>9</v>
      </c>
      <c r="D102" s="9" t="s">
        <v>10</v>
      </c>
      <c r="E102" s="8" t="s">
        <v>9</v>
      </c>
      <c r="F102" s="9" t="s">
        <v>10</v>
      </c>
      <c r="G102" s="10" t="s">
        <v>11</v>
      </c>
    </row>
    <row r="103" spans="2:7" x14ac:dyDescent="0.45">
      <c r="B103" s="11" t="s">
        <v>12</v>
      </c>
      <c r="C103" s="12">
        <v>33</v>
      </c>
      <c r="D103" s="13">
        <f>IF(ISNUMBER(C103) = TRUE, C103*10^C108*1000/C109, "N/A")</f>
        <v>66000000</v>
      </c>
      <c r="E103" s="12"/>
      <c r="F103" s="13" t="str">
        <f>IF(ISNUMBER(E103) = TRUE, E103*10^E108*1000/E109, "N/A")</f>
        <v>N/A</v>
      </c>
      <c r="G103" s="14">
        <v>0.65</v>
      </c>
    </row>
    <row r="104" spans="2:7" x14ac:dyDescent="0.45">
      <c r="B104" s="11" t="s">
        <v>13</v>
      </c>
      <c r="C104" s="12">
        <v>34</v>
      </c>
      <c r="D104" s="13">
        <f>IF(ISNUMBER(C104) = TRUE, C104*10^C108*1000/C109, "N/A")</f>
        <v>68000000</v>
      </c>
      <c r="E104" s="12"/>
      <c r="F104" s="13" t="str">
        <f>IF(ISNUMBER(E104) = TRUE, E104*10^E108*1000/E109, "N/A")</f>
        <v>N/A</v>
      </c>
      <c r="G104" s="14">
        <v>0.65</v>
      </c>
    </row>
    <row r="105" spans="2:7" x14ac:dyDescent="0.45">
      <c r="B105" s="11" t="s">
        <v>14</v>
      </c>
      <c r="C105" s="12">
        <v>27</v>
      </c>
      <c r="D105" s="13">
        <f>IF(ISNUMBER(C105) = TRUE, C105*10^C108*1000/C109, "N/A")</f>
        <v>54000000</v>
      </c>
      <c r="E105" s="12"/>
      <c r="F105" s="13" t="str">
        <f>IF(ISNUMBER(E105) = TRUE, E105*10^E108*1000/E109, "N/A")</f>
        <v>N/A</v>
      </c>
      <c r="G105" s="14">
        <v>0.65</v>
      </c>
    </row>
    <row r="106" spans="2:7" x14ac:dyDescent="0.45">
      <c r="B106" s="11" t="s">
        <v>15</v>
      </c>
      <c r="C106" s="12">
        <v>34</v>
      </c>
      <c r="D106" s="13">
        <f>IF(ISNUMBER(C106) = TRUE, C106*10^C108*1000/C109, "N/A")</f>
        <v>68000000</v>
      </c>
      <c r="E106" s="12"/>
      <c r="F106" s="13" t="str">
        <f>IF(ISNUMBER(E106) = TRUE, E106*10^E108*1000/E109, "N/A")</f>
        <v>N/A</v>
      </c>
      <c r="G106" s="14">
        <v>0.64</v>
      </c>
    </row>
    <row r="107" spans="2:7" x14ac:dyDescent="0.45">
      <c r="B107" s="15" t="s">
        <v>16</v>
      </c>
      <c r="C107" s="16"/>
      <c r="D107" s="13" t="str">
        <f>IF(ISNUMBER(C107) = TRUE, C107*10^C108*1000/C109, "N/A")</f>
        <v>N/A</v>
      </c>
      <c r="E107" s="16"/>
      <c r="F107" s="13" t="str">
        <f>IF(ISNUMBER(E107) = TRUE, E107*10^E108*1000/E109, "N/A")</f>
        <v>N/A</v>
      </c>
      <c r="G107" s="17">
        <v>0.64</v>
      </c>
    </row>
    <row r="108" spans="2:7" x14ac:dyDescent="0.45">
      <c r="B108" s="18" t="s">
        <v>17</v>
      </c>
      <c r="C108" s="19">
        <v>4</v>
      </c>
      <c r="D108" s="20"/>
      <c r="E108" s="36"/>
      <c r="F108" s="20"/>
      <c r="G108" s="21" t="s">
        <v>18</v>
      </c>
    </row>
    <row r="109" spans="2:7" x14ac:dyDescent="0.45">
      <c r="B109" s="15" t="s">
        <v>19</v>
      </c>
      <c r="C109" s="22">
        <v>5</v>
      </c>
      <c r="D109" s="23"/>
      <c r="E109" s="37">
        <v>5</v>
      </c>
      <c r="F109" s="23"/>
      <c r="G109" s="14">
        <f>_xlfn.STDEV.P(G103:G107)</f>
        <v>4.89897948556636E-3</v>
      </c>
    </row>
    <row r="110" spans="2:7" x14ac:dyDescent="0.45">
      <c r="B110" s="11" t="s">
        <v>20</v>
      </c>
      <c r="C110" s="12">
        <f>IF(ISBLANK(E103) = FALSE, (_xlfn.STDEV.P(D103:D107)^2+_xlfn.STDEV.P(F103:F107)^2)^(1/2), _xlfn.STDEV.P(D103:D107))</f>
        <v>5830951.8948453004</v>
      </c>
      <c r="D110" s="24" t="s">
        <v>21</v>
      </c>
      <c r="E110" s="25">
        <f>E99+0.5</f>
        <v>4.75</v>
      </c>
      <c r="F110" s="26">
        <f>F99+0.5</f>
        <v>4.5</v>
      </c>
      <c r="G110" s="21" t="s">
        <v>22</v>
      </c>
    </row>
    <row r="111" spans="2:7" x14ac:dyDescent="0.45">
      <c r="B111" s="11" t="s">
        <v>23</v>
      </c>
      <c r="C111" s="12">
        <f>IF(ISBLANK(E103) = FALSE, (AVERAGE(D103:D107)+AVERAGE(F103:F107))/2, AVERAGE(D103:D107))</f>
        <v>64000000</v>
      </c>
      <c r="D111" s="24" t="s">
        <v>24</v>
      </c>
      <c r="E111" s="38">
        <f>E100+0.5/24</f>
        <v>0.81041666666666679</v>
      </c>
      <c r="F111" s="13"/>
      <c r="G111" s="29">
        <f>AVERAGE(G103:G107)</f>
        <v>0.64600000000000013</v>
      </c>
    </row>
    <row r="112" spans="2:7" ht="15.4" thickBot="1" x14ac:dyDescent="0.5">
      <c r="B112" s="30" t="s">
        <v>25</v>
      </c>
      <c r="C112" s="31">
        <f>IF(ISNUMBER(C100) = FALSE, C101, C101-0.1)</f>
        <v>4.4000000000000021</v>
      </c>
      <c r="D112" s="32" t="s">
        <v>26</v>
      </c>
      <c r="E112" s="39">
        <f>C111/C112</f>
        <v>14545454.545454537</v>
      </c>
      <c r="F112" s="40"/>
      <c r="G112" s="35"/>
    </row>
    <row r="113" spans="2:7" x14ac:dyDescent="0.45">
      <c r="B113" s="7">
        <v>11</v>
      </c>
      <c r="C113" s="8" t="s">
        <v>9</v>
      </c>
      <c r="D113" s="9" t="s">
        <v>10</v>
      </c>
      <c r="E113" s="8" t="s">
        <v>9</v>
      </c>
      <c r="F113" s="9" t="s">
        <v>10</v>
      </c>
      <c r="G113" s="10" t="s">
        <v>11</v>
      </c>
    </row>
    <row r="114" spans="2:7" x14ac:dyDescent="0.45">
      <c r="B114" s="11" t="s">
        <v>12</v>
      </c>
      <c r="C114" s="12">
        <v>68</v>
      </c>
      <c r="D114" s="13">
        <f>IF(ISNUMBER(C114) = TRUE, C114*10^C119*1000/C120, "N/A")</f>
        <v>136000000</v>
      </c>
      <c r="E114" s="12">
        <v>4</v>
      </c>
      <c r="F114" s="13">
        <f>IF(ISNUMBER(E114) = TRUE, E114*10^E119*1000/E120, "N/A")</f>
        <v>80000000</v>
      </c>
      <c r="G114" s="14">
        <v>0.77</v>
      </c>
    </row>
    <row r="115" spans="2:7" x14ac:dyDescent="0.45">
      <c r="B115" s="11" t="s">
        <v>13</v>
      </c>
      <c r="C115" s="12">
        <v>62</v>
      </c>
      <c r="D115" s="13">
        <f>IF(ISNUMBER(C115) = TRUE, C115*10^C119*1000/C120, "N/A")</f>
        <v>124000000</v>
      </c>
      <c r="E115" s="12">
        <v>8</v>
      </c>
      <c r="F115" s="13">
        <f>IF(ISNUMBER(E115) = TRUE, E115*10^E119*1000/E120, "N/A")</f>
        <v>160000000</v>
      </c>
      <c r="G115" s="14">
        <v>0.79</v>
      </c>
    </row>
    <row r="116" spans="2:7" x14ac:dyDescent="0.45">
      <c r="B116" s="11" t="s">
        <v>14</v>
      </c>
      <c r="C116" s="12">
        <v>63</v>
      </c>
      <c r="D116" s="13">
        <f>IF(ISNUMBER(C116) = TRUE, C116*10^C119*1000/C120, "N/A")</f>
        <v>126000000</v>
      </c>
      <c r="E116" s="12">
        <v>7</v>
      </c>
      <c r="F116" s="13">
        <f>IF(ISNUMBER(E116) = TRUE, E116*10^E119*1000/E120, "N/A")</f>
        <v>140000000</v>
      </c>
      <c r="G116" s="14">
        <v>0.79</v>
      </c>
    </row>
    <row r="117" spans="2:7" x14ac:dyDescent="0.45">
      <c r="B117" s="11" t="s">
        <v>15</v>
      </c>
      <c r="C117" s="12">
        <v>67</v>
      </c>
      <c r="D117" s="13">
        <f>IF(ISNUMBER(C117) = TRUE, C117*10^C119*1000/C120, "N/A")</f>
        <v>134000000</v>
      </c>
      <c r="E117" s="12">
        <v>5</v>
      </c>
      <c r="F117" s="13">
        <f>IF(ISNUMBER(E117) = TRUE, E117*10^E119*1000/E120, "N/A")</f>
        <v>100000000</v>
      </c>
      <c r="G117" s="14">
        <v>0.78</v>
      </c>
    </row>
    <row r="118" spans="2:7" x14ac:dyDescent="0.45">
      <c r="B118" s="15" t="s">
        <v>16</v>
      </c>
      <c r="C118" s="16"/>
      <c r="D118" s="13" t="str">
        <f>IF(ISNUMBER(C118) = TRUE, C118*10^C119*1000/C120, "N/A")</f>
        <v>N/A</v>
      </c>
      <c r="E118" s="16"/>
      <c r="F118" s="13" t="str">
        <f>IF(ISNUMBER(E118) = TRUE, E118*10^E119*1000/E120, "N/A")</f>
        <v>N/A</v>
      </c>
      <c r="G118" s="17">
        <v>0.79</v>
      </c>
    </row>
    <row r="119" spans="2:7" x14ac:dyDescent="0.45">
      <c r="B119" s="18" t="s">
        <v>17</v>
      </c>
      <c r="C119" s="19">
        <v>4</v>
      </c>
      <c r="D119" s="20"/>
      <c r="E119" s="36">
        <v>5</v>
      </c>
      <c r="F119" s="20"/>
      <c r="G119" s="21" t="s">
        <v>18</v>
      </c>
    </row>
    <row r="120" spans="2:7" x14ac:dyDescent="0.45">
      <c r="B120" s="15" t="s">
        <v>19</v>
      </c>
      <c r="C120" s="22">
        <v>5</v>
      </c>
      <c r="D120" s="23"/>
      <c r="E120" s="37">
        <v>5</v>
      </c>
      <c r="F120" s="23"/>
      <c r="G120" s="14">
        <f>_xlfn.STDEV.P(G114:G118)</f>
        <v>8.0000000000000071E-3</v>
      </c>
    </row>
    <row r="121" spans="2:7" x14ac:dyDescent="0.45">
      <c r="B121" s="11" t="s">
        <v>20</v>
      </c>
      <c r="C121" s="12">
        <f>IF(ISBLANK(E114) = FALSE, (_xlfn.STDEV.P(D114:D118)^2+_xlfn.STDEV.P(F114:F118)^2)^(1/2), _xlfn.STDEV.P(D114:D118))</f>
        <v>32031234.75609393</v>
      </c>
      <c r="D121" s="24" t="s">
        <v>21</v>
      </c>
      <c r="E121" s="25">
        <f>E110+0.5</f>
        <v>5.25</v>
      </c>
      <c r="F121" s="26">
        <f>F110+0.5</f>
        <v>5</v>
      </c>
      <c r="G121" s="21" t="s">
        <v>22</v>
      </c>
    </row>
    <row r="122" spans="2:7" x14ac:dyDescent="0.45">
      <c r="B122" s="11" t="s">
        <v>23</v>
      </c>
      <c r="C122" s="12">
        <f>IF(ISBLANK(E114) = FALSE, (AVERAGE(D114:D118)+AVERAGE(F114:F118))/2, AVERAGE(D114:D118))</f>
        <v>125000000</v>
      </c>
      <c r="D122" s="24" t="s">
        <v>24</v>
      </c>
      <c r="E122" s="38">
        <f>E111+0.5/24</f>
        <v>0.83125000000000016</v>
      </c>
      <c r="F122" s="13"/>
      <c r="G122" s="29">
        <f>AVERAGE(G114:G118)</f>
        <v>0.78400000000000003</v>
      </c>
    </row>
    <row r="123" spans="2:7" ht="15.4" thickBot="1" x14ac:dyDescent="0.5">
      <c r="B123" s="30" t="s">
        <v>25</v>
      </c>
      <c r="C123" s="31">
        <f>IF(ISNUMBER(C111) = FALSE, C112, C112-0.1)</f>
        <v>4.3000000000000025</v>
      </c>
      <c r="D123" s="32" t="s">
        <v>26</v>
      </c>
      <c r="E123" s="39">
        <f>C122/C123</f>
        <v>29069767.441860449</v>
      </c>
      <c r="F123" s="40"/>
      <c r="G123" s="35"/>
    </row>
    <row r="124" spans="2:7" x14ac:dyDescent="0.45">
      <c r="B124" s="7">
        <v>12</v>
      </c>
      <c r="C124" s="8" t="s">
        <v>9</v>
      </c>
      <c r="D124" s="9" t="s">
        <v>10</v>
      </c>
      <c r="E124" s="8" t="s">
        <v>9</v>
      </c>
      <c r="F124" s="9" t="s">
        <v>10</v>
      </c>
      <c r="G124" s="10" t="s">
        <v>11</v>
      </c>
    </row>
    <row r="125" spans="2:7" x14ac:dyDescent="0.45">
      <c r="B125" s="11" t="s">
        <v>12</v>
      </c>
      <c r="C125" s="12"/>
      <c r="D125" s="13" t="str">
        <f>IF(ISNUMBER(C125) = TRUE, C125*10^C130*1000/C131, "N/A")</f>
        <v>N/A</v>
      </c>
      <c r="E125" s="12"/>
      <c r="F125" s="13" t="str">
        <f>IF(ISNUMBER(E125) = TRUE, E125*10^E130*1000/E131, "N/A")</f>
        <v>N/A</v>
      </c>
      <c r="G125" s="14">
        <v>0.92</v>
      </c>
    </row>
    <row r="126" spans="2:7" x14ac:dyDescent="0.45">
      <c r="B126" s="11" t="s">
        <v>13</v>
      </c>
      <c r="C126" s="12"/>
      <c r="D126" s="13" t="str">
        <f>IF(ISNUMBER(C126) = TRUE, C126*10^C130*1000/C131, "N/A")</f>
        <v>N/A</v>
      </c>
      <c r="E126" s="12"/>
      <c r="F126" s="13" t="str">
        <f>IF(ISNUMBER(E126) = TRUE, E126*10^E130*1000/E131, "N/A")</f>
        <v>N/A</v>
      </c>
      <c r="G126" s="14">
        <v>0.91</v>
      </c>
    </row>
    <row r="127" spans="2:7" x14ac:dyDescent="0.45">
      <c r="B127" s="11" t="s">
        <v>14</v>
      </c>
      <c r="C127" s="12"/>
      <c r="D127" s="13" t="str">
        <f>IF(ISNUMBER(C127) = TRUE, C127*10^C130*1000/C131, "N/A")</f>
        <v>N/A</v>
      </c>
      <c r="E127" s="12"/>
      <c r="F127" s="13" t="str">
        <f>IF(ISNUMBER(E127) = TRUE, E127*10^E130*1000/E131, "N/A")</f>
        <v>N/A</v>
      </c>
      <c r="G127" s="14">
        <v>0.93</v>
      </c>
    </row>
    <row r="128" spans="2:7" x14ac:dyDescent="0.45">
      <c r="B128" s="11" t="s">
        <v>15</v>
      </c>
      <c r="C128" s="12"/>
      <c r="D128" s="13" t="str">
        <f>IF(ISNUMBER(C128) = TRUE, C128*10^C130*1000/C131, "N/A")</f>
        <v>N/A</v>
      </c>
      <c r="E128" s="12"/>
      <c r="F128" s="13" t="str">
        <f>IF(ISNUMBER(E128) = TRUE, E128*10^E130*1000/E131, "N/A")</f>
        <v>N/A</v>
      </c>
      <c r="G128" s="14">
        <v>0.93</v>
      </c>
    </row>
    <row r="129" spans="2:7" x14ac:dyDescent="0.45">
      <c r="B129" s="15" t="s">
        <v>16</v>
      </c>
      <c r="C129" s="16"/>
      <c r="D129" s="13" t="str">
        <f>IF(ISNUMBER(C129) = TRUE, C129*10^C130*1000/C131, "N/A")</f>
        <v>N/A</v>
      </c>
      <c r="E129" s="16"/>
      <c r="F129" s="13" t="str">
        <f>IF(ISNUMBER(E129) = TRUE, E129*10^E130*1000/E131, "N/A")</f>
        <v>N/A</v>
      </c>
      <c r="G129" s="17">
        <v>0.93</v>
      </c>
    </row>
    <row r="130" spans="2:7" x14ac:dyDescent="0.45">
      <c r="B130" s="18" t="s">
        <v>17</v>
      </c>
      <c r="C130" s="19"/>
      <c r="D130" s="20"/>
      <c r="E130" s="36"/>
      <c r="F130" s="20"/>
      <c r="G130" s="21" t="s">
        <v>18</v>
      </c>
    </row>
    <row r="131" spans="2:7" x14ac:dyDescent="0.45">
      <c r="B131" s="15" t="s">
        <v>19</v>
      </c>
      <c r="C131" s="22">
        <v>5</v>
      </c>
      <c r="D131" s="23"/>
      <c r="E131" s="37">
        <v>5</v>
      </c>
      <c r="F131" s="23"/>
      <c r="G131" s="14">
        <f>_xlfn.STDEV.P(G125:G129)</f>
        <v>8.0000000000000071E-3</v>
      </c>
    </row>
    <row r="132" spans="2:7" x14ac:dyDescent="0.45">
      <c r="B132" s="11" t="s">
        <v>20</v>
      </c>
      <c r="C132" s="12" t="e">
        <f>_xlfn.STDEV.P(D125:D129,F125:F129)</f>
        <v>#DIV/0!</v>
      </c>
      <c r="D132" s="24" t="s">
        <v>21</v>
      </c>
      <c r="E132" s="25">
        <f>E121+0.5</f>
        <v>5.75</v>
      </c>
      <c r="F132" s="26">
        <f>F121+0.5</f>
        <v>5.5</v>
      </c>
      <c r="G132" s="21" t="s">
        <v>22</v>
      </c>
    </row>
    <row r="133" spans="2:7" x14ac:dyDescent="0.45">
      <c r="B133" s="11" t="s">
        <v>23</v>
      </c>
      <c r="C133" s="12" t="e">
        <f>AVERAGE(D125:D129,F125:F129)</f>
        <v>#DIV/0!</v>
      </c>
      <c r="D133" s="24" t="s">
        <v>24</v>
      </c>
      <c r="E133" s="38">
        <f>E122+0.5/24</f>
        <v>0.85208333333333353</v>
      </c>
      <c r="F133" s="13"/>
      <c r="G133" s="29">
        <f>AVERAGE(G125:G129)</f>
        <v>0.92400000000000004</v>
      </c>
    </row>
    <row r="134" spans="2:7" ht="15.4" thickBot="1" x14ac:dyDescent="0.5">
      <c r="B134" s="30" t="s">
        <v>25</v>
      </c>
      <c r="C134" s="31">
        <f>IF(ISNUMBER(C122) = FALSE, C123, C123-0.1)</f>
        <v>4.2000000000000028</v>
      </c>
      <c r="D134" s="32" t="s">
        <v>26</v>
      </c>
      <c r="E134" s="39" t="e">
        <f>C133/C134</f>
        <v>#DIV/0!</v>
      </c>
      <c r="F134" s="40"/>
      <c r="G134" s="35"/>
    </row>
    <row r="135" spans="2:7" x14ac:dyDescent="0.45">
      <c r="B135" s="7">
        <v>13</v>
      </c>
      <c r="C135" s="8" t="s">
        <v>9</v>
      </c>
      <c r="D135" s="9" t="s">
        <v>10</v>
      </c>
      <c r="E135" s="8" t="s">
        <v>9</v>
      </c>
      <c r="F135" s="9" t="s">
        <v>10</v>
      </c>
      <c r="G135" s="10" t="s">
        <v>11</v>
      </c>
    </row>
    <row r="136" spans="2:7" x14ac:dyDescent="0.45">
      <c r="B136" s="11" t="s">
        <v>12</v>
      </c>
      <c r="C136" s="12"/>
      <c r="D136" s="13" t="str">
        <f>IF(ISNUMBER(C136) = TRUE, C136*10^C141*1000/C142, "N/A")</f>
        <v>N/A</v>
      </c>
      <c r="E136" s="12"/>
      <c r="F136" s="13" t="str">
        <f>IF(ISNUMBER(E136) = TRUE, E136*10^E141*1000/E142, "N/A")</f>
        <v>N/A</v>
      </c>
      <c r="G136" s="14">
        <v>1.06</v>
      </c>
    </row>
    <row r="137" spans="2:7" x14ac:dyDescent="0.45">
      <c r="B137" s="11" t="s">
        <v>13</v>
      </c>
      <c r="C137" s="12"/>
      <c r="D137" s="13" t="str">
        <f>IF(ISNUMBER(C137) = TRUE, C137*10^C141*1000/C142, "N/A")</f>
        <v>N/A</v>
      </c>
      <c r="E137" s="12"/>
      <c r="F137" s="13" t="str">
        <f>IF(ISNUMBER(E137) = TRUE, E137*10^E141*1000/E142, "N/A")</f>
        <v>N/A</v>
      </c>
      <c r="G137" s="14">
        <v>1.08</v>
      </c>
    </row>
    <row r="138" spans="2:7" x14ac:dyDescent="0.45">
      <c r="B138" s="11" t="s">
        <v>14</v>
      </c>
      <c r="C138" s="12"/>
      <c r="D138" s="13" t="str">
        <f>IF(ISNUMBER(C138) = TRUE, C138*10^C141*1000/C142, "N/A")</f>
        <v>N/A</v>
      </c>
      <c r="E138" s="12"/>
      <c r="F138" s="13" t="str">
        <f>IF(ISNUMBER(E138) = TRUE, E138*10^E141*1000/E142, "N/A")</f>
        <v>N/A</v>
      </c>
      <c r="G138" s="14">
        <v>1.08</v>
      </c>
    </row>
    <row r="139" spans="2:7" x14ac:dyDescent="0.45">
      <c r="B139" s="11" t="s">
        <v>15</v>
      </c>
      <c r="C139" s="12"/>
      <c r="D139" s="13" t="str">
        <f>IF(ISNUMBER(C139) = TRUE, C139*10^C141*1000/C142, "N/A")</f>
        <v>N/A</v>
      </c>
      <c r="E139" s="12"/>
      <c r="F139" s="13" t="str">
        <f>IF(ISNUMBER(E139) = TRUE, E139*10^E141*1000/E142, "N/A")</f>
        <v>N/A</v>
      </c>
      <c r="G139" s="14">
        <v>1.07</v>
      </c>
    </row>
    <row r="140" spans="2:7" x14ac:dyDescent="0.45">
      <c r="B140" s="15" t="s">
        <v>16</v>
      </c>
      <c r="C140" s="16"/>
      <c r="D140" s="13" t="str">
        <f>IF(ISNUMBER(C140) = TRUE, C140*10^C141*1000/C142, "N/A")</f>
        <v>N/A</v>
      </c>
      <c r="E140" s="16"/>
      <c r="F140" s="13" t="str">
        <f>IF(ISNUMBER(E140) = TRUE, E140*10^E141*1000/E142, "N/A")</f>
        <v>N/A</v>
      </c>
      <c r="G140" s="17">
        <v>1.08</v>
      </c>
    </row>
    <row r="141" spans="2:7" x14ac:dyDescent="0.45">
      <c r="B141" s="18" t="s">
        <v>17</v>
      </c>
      <c r="C141" s="19"/>
      <c r="D141" s="20"/>
      <c r="E141" s="36"/>
      <c r="F141" s="20"/>
      <c r="G141" s="21" t="s">
        <v>18</v>
      </c>
    </row>
    <row r="142" spans="2:7" x14ac:dyDescent="0.45">
      <c r="B142" s="15" t="s">
        <v>19</v>
      </c>
      <c r="C142" s="22">
        <v>5</v>
      </c>
      <c r="D142" s="23"/>
      <c r="E142" s="37">
        <v>5</v>
      </c>
      <c r="F142" s="23"/>
      <c r="G142" s="14">
        <f>_xlfn.STDEV.P(G136:G140)</f>
        <v>8.0000000000000071E-3</v>
      </c>
    </row>
    <row r="143" spans="2:7" x14ac:dyDescent="0.45">
      <c r="B143" s="11" t="s">
        <v>20</v>
      </c>
      <c r="C143" s="12" t="e">
        <f>_xlfn.STDEV.P(D136:D140,F136:F140)</f>
        <v>#DIV/0!</v>
      </c>
      <c r="D143" s="24" t="s">
        <v>21</v>
      </c>
      <c r="E143" s="25">
        <f>E132+0.5</f>
        <v>6.25</v>
      </c>
      <c r="F143" s="26">
        <f>F132+0.5</f>
        <v>6</v>
      </c>
      <c r="G143" s="21" t="s">
        <v>22</v>
      </c>
    </row>
    <row r="144" spans="2:7" x14ac:dyDescent="0.45">
      <c r="B144" s="11" t="s">
        <v>23</v>
      </c>
      <c r="C144" s="12" t="e">
        <f>AVERAGE(D136:D140,F136:F140)</f>
        <v>#DIV/0!</v>
      </c>
      <c r="D144" s="24" t="s">
        <v>24</v>
      </c>
      <c r="E144" s="38">
        <f>E133+0.5/24</f>
        <v>0.8729166666666669</v>
      </c>
      <c r="F144" s="13"/>
      <c r="G144" s="29">
        <f>AVERAGE(G136:G140)</f>
        <v>1.0740000000000001</v>
      </c>
    </row>
    <row r="145" spans="2:7" ht="15.4" thickBot="1" x14ac:dyDescent="0.5">
      <c r="B145" s="30" t="s">
        <v>25</v>
      </c>
      <c r="C145" s="31">
        <f>IF(ISNUMBER(C133) = FALSE, C134, C134-0.1)</f>
        <v>4.2000000000000028</v>
      </c>
      <c r="D145" s="32" t="s">
        <v>26</v>
      </c>
      <c r="E145" s="39" t="e">
        <f>C144/C145</f>
        <v>#DIV/0!</v>
      </c>
      <c r="F145" s="40"/>
      <c r="G145" s="35"/>
    </row>
    <row r="146" spans="2:7" x14ac:dyDescent="0.45">
      <c r="B146" s="7">
        <v>14</v>
      </c>
      <c r="C146" s="8" t="s">
        <v>9</v>
      </c>
      <c r="D146" s="9" t="s">
        <v>10</v>
      </c>
      <c r="E146" s="8" t="s">
        <v>9</v>
      </c>
      <c r="F146" s="9" t="s">
        <v>10</v>
      </c>
      <c r="G146" s="10" t="s">
        <v>11</v>
      </c>
    </row>
    <row r="147" spans="2:7" x14ac:dyDescent="0.45">
      <c r="B147" s="11" t="s">
        <v>12</v>
      </c>
      <c r="C147" s="12"/>
      <c r="D147" s="13" t="str">
        <f>IF(ISNUMBER(C147) = TRUE, C147*10^C152*1000/C153, "N/A")</f>
        <v>N/A</v>
      </c>
      <c r="E147" s="12"/>
      <c r="F147" s="13" t="str">
        <f>IF(ISNUMBER(E147) = TRUE, E147*10^E152*1000/E153, "N/A")</f>
        <v>N/A</v>
      </c>
      <c r="G147" s="14">
        <v>1.19</v>
      </c>
    </row>
    <row r="148" spans="2:7" x14ac:dyDescent="0.45">
      <c r="B148" s="11" t="s">
        <v>13</v>
      </c>
      <c r="C148" s="12"/>
      <c r="D148" s="13" t="str">
        <f>IF(ISNUMBER(C148) = TRUE, C148*10^C152*1000/C153, "N/A")</f>
        <v>N/A</v>
      </c>
      <c r="E148" s="12"/>
      <c r="F148" s="13" t="str">
        <f>IF(ISNUMBER(E148) = TRUE, E148*10^E152*1000/E153, "N/A")</f>
        <v>N/A</v>
      </c>
      <c r="G148" s="14">
        <v>1.22</v>
      </c>
    </row>
    <row r="149" spans="2:7" x14ac:dyDescent="0.45">
      <c r="B149" s="11" t="s">
        <v>14</v>
      </c>
      <c r="C149" s="12"/>
      <c r="D149" s="13" t="str">
        <f>IF(ISNUMBER(C149) = TRUE, C149*10^C152*1000/C153, "N/A")</f>
        <v>N/A</v>
      </c>
      <c r="E149" s="12"/>
      <c r="F149" s="13" t="str">
        <f>IF(ISNUMBER(E149) = TRUE, E149*10^E152*1000/E153, "N/A")</f>
        <v>N/A</v>
      </c>
      <c r="G149" s="14">
        <v>1.21</v>
      </c>
    </row>
    <row r="150" spans="2:7" x14ac:dyDescent="0.45">
      <c r="B150" s="11" t="s">
        <v>15</v>
      </c>
      <c r="C150" s="12"/>
      <c r="D150" s="13" t="str">
        <f>IF(ISNUMBER(C150) = TRUE, C150*10^C152*1000/C153, "N/A")</f>
        <v>N/A</v>
      </c>
      <c r="E150" s="12"/>
      <c r="F150" s="13" t="str">
        <f>IF(ISNUMBER(E150) = TRUE, E150*10^E152*1000/E153, "N/A")</f>
        <v>N/A</v>
      </c>
      <c r="G150" s="14">
        <v>1.2</v>
      </c>
    </row>
    <row r="151" spans="2:7" x14ac:dyDescent="0.45">
      <c r="B151" s="15" t="s">
        <v>16</v>
      </c>
      <c r="C151" s="16"/>
      <c r="D151" s="13" t="str">
        <f>IF(ISNUMBER(C151) = TRUE, C151*10^C152*1000/C153, "N/A")</f>
        <v>N/A</v>
      </c>
      <c r="E151" s="16"/>
      <c r="F151" s="13" t="str">
        <f>IF(ISNUMBER(E151) = TRUE, E151*10^E152*1000/E153, "N/A")</f>
        <v>N/A</v>
      </c>
      <c r="G151" s="17">
        <v>1.2</v>
      </c>
    </row>
    <row r="152" spans="2:7" x14ac:dyDescent="0.45">
      <c r="B152" s="18" t="s">
        <v>17</v>
      </c>
      <c r="C152" s="19"/>
      <c r="D152" s="20"/>
      <c r="E152" s="36"/>
      <c r="F152" s="20"/>
      <c r="G152" s="21" t="s">
        <v>18</v>
      </c>
    </row>
    <row r="153" spans="2:7" x14ac:dyDescent="0.45">
      <c r="B153" s="15" t="s">
        <v>19</v>
      </c>
      <c r="C153" s="22">
        <v>5</v>
      </c>
      <c r="D153" s="23"/>
      <c r="E153" s="37">
        <v>5</v>
      </c>
      <c r="F153" s="23"/>
      <c r="G153" s="14">
        <f>_xlfn.STDEV.P(G147:G151)</f>
        <v>1.0198039027185579E-2</v>
      </c>
    </row>
    <row r="154" spans="2:7" x14ac:dyDescent="0.45">
      <c r="B154" s="11" t="s">
        <v>20</v>
      </c>
      <c r="C154" s="12" t="e">
        <f>_xlfn.STDEV.P(D147:D151,F147:F151)</f>
        <v>#DIV/0!</v>
      </c>
      <c r="D154" s="24" t="s">
        <v>21</v>
      </c>
      <c r="E154" s="25">
        <f>E143+0.5</f>
        <v>6.75</v>
      </c>
      <c r="F154" s="26">
        <f>F143+0.5</f>
        <v>6.5</v>
      </c>
      <c r="G154" s="21" t="s">
        <v>22</v>
      </c>
    </row>
    <row r="155" spans="2:7" x14ac:dyDescent="0.45">
      <c r="B155" s="11" t="s">
        <v>23</v>
      </c>
      <c r="C155" s="12" t="e">
        <f>AVERAGE(D147:D151,F147:F151)</f>
        <v>#DIV/0!</v>
      </c>
      <c r="D155" s="24" t="s">
        <v>24</v>
      </c>
      <c r="E155" s="38">
        <f>E144+0.5/24</f>
        <v>0.89375000000000027</v>
      </c>
      <c r="F155" s="13"/>
      <c r="G155" s="29">
        <f>AVERAGE(G147:G151)</f>
        <v>1.2040000000000002</v>
      </c>
    </row>
    <row r="156" spans="2:7" ht="15.4" thickBot="1" x14ac:dyDescent="0.5">
      <c r="B156" s="30" t="s">
        <v>25</v>
      </c>
      <c r="C156" s="31">
        <f>IF(ISNUMBER(C144) = FALSE, C145, C145-0.1)</f>
        <v>4.2000000000000028</v>
      </c>
      <c r="D156" s="32" t="s">
        <v>26</v>
      </c>
      <c r="E156" s="39" t="e">
        <f>C155/C156</f>
        <v>#DIV/0!</v>
      </c>
      <c r="F156" s="40"/>
      <c r="G156" s="35"/>
    </row>
    <row r="157" spans="2:7" x14ac:dyDescent="0.45">
      <c r="B157" s="7">
        <v>15</v>
      </c>
      <c r="C157" s="8" t="s">
        <v>9</v>
      </c>
      <c r="D157" s="9" t="s">
        <v>10</v>
      </c>
      <c r="E157" s="8" t="s">
        <v>9</v>
      </c>
      <c r="F157" s="9" t="s">
        <v>10</v>
      </c>
      <c r="G157" s="10" t="s">
        <v>11</v>
      </c>
    </row>
    <row r="158" spans="2:7" x14ac:dyDescent="0.45">
      <c r="B158" s="11" t="s">
        <v>12</v>
      </c>
      <c r="C158" s="12">
        <v>136</v>
      </c>
      <c r="D158" s="13">
        <f>IF(ISNUMBER(C158) = TRUE, C158*10^C163*1000/C164, "N/A")</f>
        <v>272000000</v>
      </c>
      <c r="E158" s="12">
        <v>16</v>
      </c>
      <c r="F158" s="13">
        <f>IF(ISNUMBER(E158) = TRUE, E158*10^E163*1000/E164, "N/A")</f>
        <v>320000000</v>
      </c>
      <c r="G158" s="14">
        <v>1.36</v>
      </c>
    </row>
    <row r="159" spans="2:7" x14ac:dyDescent="0.45">
      <c r="B159" s="11" t="s">
        <v>13</v>
      </c>
      <c r="C159" s="12">
        <v>130</v>
      </c>
      <c r="D159" s="13">
        <f>IF(ISNUMBER(C159) = TRUE, C159*10^C163*1000/C164, "N/A")</f>
        <v>260000000</v>
      </c>
      <c r="E159" s="12">
        <v>15</v>
      </c>
      <c r="F159" s="13">
        <f>IF(ISNUMBER(E159) = TRUE, E159*10^E163*1000/E164, "N/A")</f>
        <v>300000000</v>
      </c>
      <c r="G159" s="14">
        <v>1.35</v>
      </c>
    </row>
    <row r="160" spans="2:7" x14ac:dyDescent="0.45">
      <c r="B160" s="11" t="s">
        <v>14</v>
      </c>
      <c r="C160" s="12">
        <v>149</v>
      </c>
      <c r="D160" s="13">
        <f>IF(ISNUMBER(C160) = TRUE, C160*10^C163*1000/C164, "N/A")</f>
        <v>298000000</v>
      </c>
      <c r="E160" s="12">
        <v>13</v>
      </c>
      <c r="F160" s="13">
        <f>IF(ISNUMBER(E160) = TRUE, E160*10^E163*1000/E164, "N/A")</f>
        <v>260000000</v>
      </c>
      <c r="G160" s="14">
        <v>1.36</v>
      </c>
    </row>
    <row r="161" spans="2:7" x14ac:dyDescent="0.45">
      <c r="B161" s="11" t="s">
        <v>15</v>
      </c>
      <c r="C161" s="12">
        <v>136</v>
      </c>
      <c r="D161" s="13">
        <f>IF(ISNUMBER(C161) = TRUE, C161*10^C163*1000/C164, "N/A")</f>
        <v>272000000</v>
      </c>
      <c r="E161" s="12"/>
      <c r="F161" s="13" t="str">
        <f>IF(ISNUMBER(E161) = TRUE, E161*10^E163*1000/E164, "N/A")</f>
        <v>N/A</v>
      </c>
      <c r="G161" s="14">
        <v>1.36</v>
      </c>
    </row>
    <row r="162" spans="2:7" x14ac:dyDescent="0.45">
      <c r="B162" s="15" t="s">
        <v>16</v>
      </c>
      <c r="C162" s="16"/>
      <c r="D162" s="13" t="str">
        <f>IF(ISNUMBER(C162) = TRUE, C162*10^C163*1000/C164, "N/A")</f>
        <v>N/A</v>
      </c>
      <c r="E162" s="16"/>
      <c r="F162" s="13" t="str">
        <f>IF(ISNUMBER(E162) = TRUE, E162*10^E163*1000/E164, "N/A")</f>
        <v>N/A</v>
      </c>
      <c r="G162" s="17">
        <v>1.37</v>
      </c>
    </row>
    <row r="163" spans="2:7" x14ac:dyDescent="0.45">
      <c r="B163" s="18" t="s">
        <v>17</v>
      </c>
      <c r="C163" s="19">
        <v>4</v>
      </c>
      <c r="D163" s="20"/>
      <c r="E163" s="36">
        <v>5</v>
      </c>
      <c r="F163" s="20"/>
      <c r="G163" s="21" t="s">
        <v>18</v>
      </c>
    </row>
    <row r="164" spans="2:7" x14ac:dyDescent="0.45">
      <c r="B164" s="15" t="s">
        <v>19</v>
      </c>
      <c r="C164" s="22">
        <v>5</v>
      </c>
      <c r="D164" s="23"/>
      <c r="E164" s="37">
        <v>5</v>
      </c>
      <c r="F164" s="23"/>
      <c r="G164" s="14">
        <f>_xlfn.STDEV.P(G158:G162)</f>
        <v>6.324555320336764E-3</v>
      </c>
    </row>
    <row r="165" spans="2:7" x14ac:dyDescent="0.45">
      <c r="B165" s="11" t="s">
        <v>20</v>
      </c>
      <c r="C165" s="12">
        <f>IF(ISBLANK(E158) = FALSE, (_xlfn.STDEV.P(D158:D162)^2+_xlfn.STDEV.P(F158:F162)^2)^(1/2), _xlfn.STDEV.P(D158:D162))</f>
        <v>28547718.336536497</v>
      </c>
      <c r="D165" s="24" t="s">
        <v>21</v>
      </c>
      <c r="E165" s="25">
        <f>E154+0.5</f>
        <v>7.25</v>
      </c>
      <c r="F165" s="26">
        <f>F154+0.5</f>
        <v>7</v>
      </c>
      <c r="G165" s="21" t="s">
        <v>22</v>
      </c>
    </row>
    <row r="166" spans="2:7" x14ac:dyDescent="0.45">
      <c r="B166" s="11" t="s">
        <v>23</v>
      </c>
      <c r="C166" s="12">
        <f>IF(ISBLANK(E158) = FALSE, (AVERAGE(D158:D162)+AVERAGE(F158:F162))/2, AVERAGE(D158:D162))</f>
        <v>284416666.66666663</v>
      </c>
      <c r="D166" s="24" t="s">
        <v>24</v>
      </c>
      <c r="E166" s="38">
        <f>E155+0.5/24</f>
        <v>0.91458333333333364</v>
      </c>
      <c r="F166" s="13"/>
      <c r="G166" s="29">
        <f>AVERAGE(G158:G162)</f>
        <v>1.36</v>
      </c>
    </row>
    <row r="167" spans="2:7" ht="15.4" thickBot="1" x14ac:dyDescent="0.5">
      <c r="B167" s="30" t="s">
        <v>25</v>
      </c>
      <c r="C167" s="31">
        <f>IF(ISNUMBER(C155) = FALSE, C156, C156-0.1)</f>
        <v>4.2000000000000028</v>
      </c>
      <c r="D167" s="32" t="s">
        <v>26</v>
      </c>
      <c r="E167" s="39">
        <f>C166/C167</f>
        <v>67718253.968253911</v>
      </c>
      <c r="F167" s="40"/>
      <c r="G167" s="35"/>
    </row>
    <row r="168" spans="2:7" x14ac:dyDescent="0.45">
      <c r="B168" s="7">
        <v>16</v>
      </c>
      <c r="C168" s="8" t="s">
        <v>9</v>
      </c>
      <c r="D168" s="9" t="s">
        <v>10</v>
      </c>
      <c r="E168" s="8" t="s">
        <v>9</v>
      </c>
      <c r="F168" s="9" t="s">
        <v>10</v>
      </c>
      <c r="G168" s="10" t="s">
        <v>11</v>
      </c>
    </row>
    <row r="169" spans="2:7" x14ac:dyDescent="0.45">
      <c r="B169" s="11" t="s">
        <v>12</v>
      </c>
      <c r="C169" s="12"/>
      <c r="D169" s="13" t="str">
        <f>IF(ISNUMBER(C169) = TRUE, C169*10^C174*1000/C175, "N/A")</f>
        <v>N/A</v>
      </c>
      <c r="E169" s="12"/>
      <c r="F169" s="13" t="str">
        <f>IF(ISNUMBER(E169) = TRUE, E169*10^E174*1000/E175, "N/A")</f>
        <v>N/A</v>
      </c>
      <c r="G169" s="14">
        <v>1.52</v>
      </c>
    </row>
    <row r="170" spans="2:7" x14ac:dyDescent="0.45">
      <c r="B170" s="11" t="s">
        <v>13</v>
      </c>
      <c r="C170" s="12"/>
      <c r="D170" s="13" t="str">
        <f>IF(ISNUMBER(C170) = TRUE, C170*10^C174*1000/C175, "N/A")</f>
        <v>N/A</v>
      </c>
      <c r="E170" s="12"/>
      <c r="F170" s="13" t="str">
        <f>IF(ISNUMBER(E170) = TRUE, E170*10^E174*1000/E175, "N/A")</f>
        <v>N/A</v>
      </c>
      <c r="G170" s="14">
        <v>1.52</v>
      </c>
    </row>
    <row r="171" spans="2:7" x14ac:dyDescent="0.45">
      <c r="B171" s="11" t="s">
        <v>14</v>
      </c>
      <c r="C171" s="12"/>
      <c r="D171" s="13" t="str">
        <f>IF(ISNUMBER(C171) = TRUE, C171*10^C174*1000/C175, "N/A")</f>
        <v>N/A</v>
      </c>
      <c r="E171" s="12"/>
      <c r="F171" s="13" t="str">
        <f>IF(ISNUMBER(E171) = TRUE, E171*10^E174*1000/E175, "N/A")</f>
        <v>N/A</v>
      </c>
      <c r="G171" s="14">
        <v>1.51</v>
      </c>
    </row>
    <row r="172" spans="2:7" x14ac:dyDescent="0.45">
      <c r="B172" s="11" t="s">
        <v>15</v>
      </c>
      <c r="C172" s="12"/>
      <c r="D172" s="13" t="str">
        <f>IF(ISNUMBER(C172) = TRUE, C172*10^C174*1000/C175, "N/A")</f>
        <v>N/A</v>
      </c>
      <c r="E172" s="12"/>
      <c r="F172" s="13" t="str">
        <f>IF(ISNUMBER(E172) = TRUE, E172*10^E174*1000/E175, "N/A")</f>
        <v>N/A</v>
      </c>
      <c r="G172" s="14">
        <v>1.51</v>
      </c>
    </row>
    <row r="173" spans="2:7" x14ac:dyDescent="0.45">
      <c r="B173" s="15" t="s">
        <v>16</v>
      </c>
      <c r="C173" s="16"/>
      <c r="D173" s="13" t="str">
        <f>IF(ISNUMBER(C173) = TRUE, C173*10^C174*1000/C175, "N/A")</f>
        <v>N/A</v>
      </c>
      <c r="E173" s="16"/>
      <c r="F173" s="13" t="str">
        <f>IF(ISNUMBER(E173) = TRUE, E173*10^E174*1000/E175, "N/A")</f>
        <v>N/A</v>
      </c>
      <c r="G173" s="17">
        <v>1.53</v>
      </c>
    </row>
    <row r="174" spans="2:7" x14ac:dyDescent="0.45">
      <c r="B174" s="18" t="s">
        <v>17</v>
      </c>
      <c r="C174" s="19"/>
      <c r="D174" s="20"/>
      <c r="E174" s="36"/>
      <c r="F174" s="20"/>
      <c r="G174" s="21" t="s">
        <v>18</v>
      </c>
    </row>
    <row r="175" spans="2:7" x14ac:dyDescent="0.45">
      <c r="B175" s="15" t="s">
        <v>19</v>
      </c>
      <c r="C175" s="22">
        <v>5</v>
      </c>
      <c r="D175" s="23"/>
      <c r="E175" s="37">
        <v>5</v>
      </c>
      <c r="F175" s="23"/>
      <c r="G175" s="14">
        <f>_xlfn.STDEV.P(G169:G173)</f>
        <v>7.4833147735478894E-3</v>
      </c>
    </row>
    <row r="176" spans="2:7" x14ac:dyDescent="0.45">
      <c r="B176" s="11" t="s">
        <v>20</v>
      </c>
      <c r="C176" s="12" t="e">
        <f>_xlfn.STDEV.P(D169:D173,F169:F173)</f>
        <v>#DIV/0!</v>
      </c>
      <c r="D176" s="24" t="s">
        <v>21</v>
      </c>
      <c r="E176" s="25">
        <f>E165+0.5</f>
        <v>7.75</v>
      </c>
      <c r="F176" s="26">
        <f>F165+0.5</f>
        <v>7.5</v>
      </c>
      <c r="G176" s="21" t="s">
        <v>22</v>
      </c>
    </row>
    <row r="177" spans="2:7" x14ac:dyDescent="0.45">
      <c r="B177" s="11" t="s">
        <v>23</v>
      </c>
      <c r="C177" s="12" t="e">
        <f>AVERAGE(D169:D173,F169:F173)</f>
        <v>#DIV/0!</v>
      </c>
      <c r="D177" s="24" t="s">
        <v>24</v>
      </c>
      <c r="E177" s="38">
        <f>E166+0.5/24</f>
        <v>0.93541666666666701</v>
      </c>
      <c r="F177" s="13"/>
      <c r="G177" s="29">
        <f>AVERAGE(G169:G173)</f>
        <v>1.518</v>
      </c>
    </row>
    <row r="178" spans="2:7" ht="15.4" thickBot="1" x14ac:dyDescent="0.5">
      <c r="B178" s="30" t="s">
        <v>25</v>
      </c>
      <c r="C178" s="31">
        <f>IF(ISNUMBER(C166) = FALSE, C167, C167-0.1)</f>
        <v>4.1000000000000032</v>
      </c>
      <c r="D178" s="32" t="s">
        <v>26</v>
      </c>
      <c r="E178" s="39" t="e">
        <f>C177/C178</f>
        <v>#DIV/0!</v>
      </c>
      <c r="F178" s="40"/>
      <c r="G178" s="35"/>
    </row>
    <row r="179" spans="2:7" x14ac:dyDescent="0.45">
      <c r="B179" s="7">
        <v>17</v>
      </c>
      <c r="C179" s="8" t="s">
        <v>9</v>
      </c>
      <c r="D179" s="9" t="s">
        <v>10</v>
      </c>
      <c r="E179" s="8" t="s">
        <v>9</v>
      </c>
      <c r="F179" s="9" t="s">
        <v>10</v>
      </c>
      <c r="G179" s="10" t="s">
        <v>11</v>
      </c>
    </row>
    <row r="180" spans="2:7" x14ac:dyDescent="0.45">
      <c r="B180" s="11" t="s">
        <v>12</v>
      </c>
      <c r="C180" s="12"/>
      <c r="D180" s="13" t="str">
        <f>IF(ISNUMBER(C180) = TRUE, C180*10^C185*1000/C186, "N/A")</f>
        <v>N/A</v>
      </c>
      <c r="E180" s="12"/>
      <c r="F180" s="13" t="str">
        <f>IF(ISNUMBER(E180) = TRUE, E180*10^E185*1000/E186, "N/A")</f>
        <v>N/A</v>
      </c>
      <c r="G180" s="14">
        <v>1.64</v>
      </c>
    </row>
    <row r="181" spans="2:7" x14ac:dyDescent="0.45">
      <c r="B181" s="11" t="s">
        <v>13</v>
      </c>
      <c r="C181" s="12"/>
      <c r="D181" s="13" t="str">
        <f>IF(ISNUMBER(C181) = TRUE, C181*10^C185*1000/C186, "N/A")</f>
        <v>N/A</v>
      </c>
      <c r="E181" s="12"/>
      <c r="F181" s="13" t="str">
        <f>IF(ISNUMBER(E181) = TRUE, E181*10^E185*1000/E186, "N/A")</f>
        <v>N/A</v>
      </c>
      <c r="G181" s="14">
        <v>1.63</v>
      </c>
    </row>
    <row r="182" spans="2:7" x14ac:dyDescent="0.45">
      <c r="B182" s="11" t="s">
        <v>14</v>
      </c>
      <c r="C182" s="12"/>
      <c r="D182" s="13" t="str">
        <f>IF(ISNUMBER(C182) = TRUE, C182*10^C185*1000/C186, "N/A")</f>
        <v>N/A</v>
      </c>
      <c r="E182" s="12"/>
      <c r="F182" s="13" t="str">
        <f>IF(ISNUMBER(E182) = TRUE, E182*10^E185*1000/E186, "N/A")</f>
        <v>N/A</v>
      </c>
      <c r="G182" s="14">
        <v>1.64</v>
      </c>
    </row>
    <row r="183" spans="2:7" x14ac:dyDescent="0.45">
      <c r="B183" s="11" t="s">
        <v>15</v>
      </c>
      <c r="C183" s="12"/>
      <c r="D183" s="13" t="str">
        <f>IF(ISNUMBER(C183) = TRUE, C183*10^C185*1000/C186, "N/A")</f>
        <v>N/A</v>
      </c>
      <c r="E183" s="12"/>
      <c r="F183" s="13" t="str">
        <f>IF(ISNUMBER(E183) = TRUE, E183*10^E185*1000/E186, "N/A")</f>
        <v>N/A</v>
      </c>
      <c r="G183" s="14">
        <v>1.64</v>
      </c>
    </row>
    <row r="184" spans="2:7" x14ac:dyDescent="0.45">
      <c r="B184" s="15" t="s">
        <v>16</v>
      </c>
      <c r="C184" s="16"/>
      <c r="D184" s="13" t="str">
        <f>IF(ISNUMBER(C184) = TRUE, C184*10^C185*1000/C186, "N/A")</f>
        <v>N/A</v>
      </c>
      <c r="E184" s="16"/>
      <c r="F184" s="13" t="str">
        <f>IF(ISNUMBER(E184) = TRUE, E184*10^E185*1000/E186, "N/A")</f>
        <v>N/A</v>
      </c>
      <c r="G184" s="17">
        <v>1.64</v>
      </c>
    </row>
    <row r="185" spans="2:7" x14ac:dyDescent="0.45">
      <c r="B185" s="18" t="s">
        <v>17</v>
      </c>
      <c r="C185" s="19"/>
      <c r="D185" s="20"/>
      <c r="E185" s="36"/>
      <c r="F185" s="20"/>
      <c r="G185" s="21" t="s">
        <v>18</v>
      </c>
    </row>
    <row r="186" spans="2:7" x14ac:dyDescent="0.45">
      <c r="B186" s="15" t="s">
        <v>19</v>
      </c>
      <c r="C186" s="22">
        <v>5</v>
      </c>
      <c r="D186" s="23"/>
      <c r="E186" s="37">
        <v>5</v>
      </c>
      <c r="F186" s="23"/>
      <c r="G186" s="14">
        <f>_xlfn.STDEV.P(G180:G184)</f>
        <v>4.0000000000000036E-3</v>
      </c>
    </row>
    <row r="187" spans="2:7" x14ac:dyDescent="0.45">
      <c r="B187" s="11" t="s">
        <v>20</v>
      </c>
      <c r="C187" s="12" t="e">
        <f>_xlfn.STDEV.P(D180:D184,F180:F184)</f>
        <v>#DIV/0!</v>
      </c>
      <c r="D187" s="24" t="s">
        <v>21</v>
      </c>
      <c r="E187" s="25">
        <f>E176+0.5</f>
        <v>8.25</v>
      </c>
      <c r="F187" s="26">
        <f>F176+0.5</f>
        <v>8</v>
      </c>
      <c r="G187" s="21" t="s">
        <v>22</v>
      </c>
    </row>
    <row r="188" spans="2:7" x14ac:dyDescent="0.45">
      <c r="B188" s="11" t="s">
        <v>23</v>
      </c>
      <c r="C188" s="12" t="e">
        <f>AVERAGE(D180:D184,F180:F184)</f>
        <v>#DIV/0!</v>
      </c>
      <c r="D188" s="24" t="s">
        <v>24</v>
      </c>
      <c r="E188" s="38">
        <f>E177+0.5/24</f>
        <v>0.95625000000000038</v>
      </c>
      <c r="F188" s="13"/>
      <c r="G188" s="29">
        <f>AVERAGE(G180:G184)</f>
        <v>1.6379999999999999</v>
      </c>
    </row>
    <row r="189" spans="2:7" ht="15.4" thickBot="1" x14ac:dyDescent="0.5">
      <c r="B189" s="30" t="s">
        <v>25</v>
      </c>
      <c r="C189" s="31">
        <f>IF(ISNUMBER(C177) = FALSE, C178, C178-0.1)</f>
        <v>4.1000000000000032</v>
      </c>
      <c r="D189" s="32" t="s">
        <v>26</v>
      </c>
      <c r="E189" s="39" t="e">
        <f>C188/C189</f>
        <v>#DIV/0!</v>
      </c>
      <c r="F189" s="40"/>
      <c r="G189" s="35"/>
    </row>
    <row r="190" spans="2:7" x14ac:dyDescent="0.45">
      <c r="B190" s="7">
        <v>18</v>
      </c>
      <c r="C190" s="8" t="s">
        <v>9</v>
      </c>
      <c r="D190" s="9" t="s">
        <v>10</v>
      </c>
      <c r="E190" s="8" t="s">
        <v>9</v>
      </c>
      <c r="F190" s="9" t="s">
        <v>10</v>
      </c>
      <c r="G190" s="10" t="s">
        <v>11</v>
      </c>
    </row>
    <row r="191" spans="2:7" x14ac:dyDescent="0.45">
      <c r="B191" s="11" t="s">
        <v>12</v>
      </c>
      <c r="C191" s="12">
        <v>27</v>
      </c>
      <c r="D191" s="13">
        <f>IF(ISNUMBER(C191) = TRUE, C191*10^C196*1000/C197, "N/A")</f>
        <v>540000000</v>
      </c>
      <c r="E191" s="12">
        <v>5</v>
      </c>
      <c r="F191" s="13">
        <f>IF(ISNUMBER(E191) = TRUE,E191* 10^E$196*1000/E$197, "N/A")</f>
        <v>1000000000</v>
      </c>
      <c r="G191" s="14">
        <v>1.72</v>
      </c>
    </row>
    <row r="192" spans="2:7" x14ac:dyDescent="0.45">
      <c r="B192" s="11" t="s">
        <v>13</v>
      </c>
      <c r="C192" s="12">
        <v>34</v>
      </c>
      <c r="D192" s="13">
        <f>IF(ISNUMBER(C192) = TRUE, C192*10^C196*1000/C197, "N/A")</f>
        <v>680000000</v>
      </c>
      <c r="E192" s="12">
        <v>4</v>
      </c>
      <c r="F192" s="13">
        <f t="shared" ref="F192:F195" si="0">IF(ISNUMBER(E192) = TRUE,E192* 10^E$196*1000/E$197, "N/A")</f>
        <v>800000000</v>
      </c>
      <c r="G192" s="14">
        <v>1.71</v>
      </c>
    </row>
    <row r="193" spans="2:7" x14ac:dyDescent="0.45">
      <c r="B193" s="11" t="s">
        <v>14</v>
      </c>
      <c r="C193" s="12">
        <v>33</v>
      </c>
      <c r="D193" s="13">
        <f>IF(ISNUMBER(C193) = TRUE, C193*10^C196*1000/C197, "N/A")</f>
        <v>660000000</v>
      </c>
      <c r="E193" s="12">
        <v>4</v>
      </c>
      <c r="F193" s="13">
        <f t="shared" si="0"/>
        <v>800000000</v>
      </c>
      <c r="G193" s="14">
        <v>1.72</v>
      </c>
    </row>
    <row r="194" spans="2:7" x14ac:dyDescent="0.45">
      <c r="B194" s="11" t="s">
        <v>15</v>
      </c>
      <c r="C194" s="12"/>
      <c r="D194" s="13" t="str">
        <f>IF(ISNUMBER(C194) = TRUE, C194*10^C196*1000/C197, "N/A")</f>
        <v>N/A</v>
      </c>
      <c r="E194" s="12"/>
      <c r="F194" s="13" t="str">
        <f>IF(ISNUMBER(E194) = TRUE,E194* 10^E$196*1000/E$197, "N/A")</f>
        <v>N/A</v>
      </c>
      <c r="G194" s="14">
        <v>1.7</v>
      </c>
    </row>
    <row r="195" spans="2:7" x14ac:dyDescent="0.45">
      <c r="B195" s="15" t="s">
        <v>16</v>
      </c>
      <c r="C195" s="16"/>
      <c r="D195" s="13" t="str">
        <f>IF(ISNUMBER(C195) = TRUE, C195*10^C196*1000/C197, "N/A")</f>
        <v>N/A</v>
      </c>
      <c r="E195" s="16"/>
      <c r="F195" s="13" t="str">
        <f t="shared" si="0"/>
        <v>N/A</v>
      </c>
      <c r="G195" s="17">
        <v>1.71</v>
      </c>
    </row>
    <row r="196" spans="2:7" x14ac:dyDescent="0.45">
      <c r="B196" s="18" t="s">
        <v>17</v>
      </c>
      <c r="C196" s="19">
        <v>5</v>
      </c>
      <c r="D196" s="20"/>
      <c r="E196" s="36">
        <v>6</v>
      </c>
      <c r="F196" s="20"/>
      <c r="G196" s="21" t="s">
        <v>18</v>
      </c>
    </row>
    <row r="197" spans="2:7" x14ac:dyDescent="0.45">
      <c r="B197" s="15" t="s">
        <v>19</v>
      </c>
      <c r="C197" s="22">
        <v>5</v>
      </c>
      <c r="D197" s="23"/>
      <c r="E197" s="37">
        <v>5</v>
      </c>
      <c r="F197" s="23"/>
      <c r="G197" s="14">
        <f>_xlfn.STDEV.P(G191:G195)</f>
        <v>7.4833147735478894E-3</v>
      </c>
    </row>
    <row r="198" spans="2:7" x14ac:dyDescent="0.45">
      <c r="B198" s="11" t="s">
        <v>20</v>
      </c>
      <c r="C198" s="12">
        <f>IF(ISBLANK(E191) = FALSE, (_xlfn.STDEV.P(D191:D195)^2+_xlfn.STDEV.P(F191:F195)^2)^(1/2), _xlfn.STDEV.P(D191:D195))</f>
        <v>112743563.50191842</v>
      </c>
      <c r="D198" s="24" t="s">
        <v>21</v>
      </c>
      <c r="E198" s="25">
        <f>E187+0.5</f>
        <v>8.75</v>
      </c>
      <c r="F198" s="26">
        <f>F187+0.5</f>
        <v>8.5</v>
      </c>
      <c r="G198" s="21" t="s">
        <v>22</v>
      </c>
    </row>
    <row r="199" spans="2:7" x14ac:dyDescent="0.45">
      <c r="B199" s="11" t="s">
        <v>23</v>
      </c>
      <c r="C199" s="12">
        <f>IF(ISBLANK(E191) = FALSE, (AVERAGE(D191:D195)+AVERAGE(F191:F195))/2, AVERAGE(D191:D195))</f>
        <v>746666666.66666663</v>
      </c>
      <c r="D199" s="24" t="s">
        <v>24</v>
      </c>
      <c r="E199" s="38">
        <f>E188+0.5/24</f>
        <v>0.97708333333333375</v>
      </c>
      <c r="F199" s="13"/>
      <c r="G199" s="29">
        <f>AVERAGE(G191:G195)</f>
        <v>1.7119999999999997</v>
      </c>
    </row>
    <row r="200" spans="2:7" ht="15.4" thickBot="1" x14ac:dyDescent="0.5">
      <c r="B200" s="30" t="s">
        <v>25</v>
      </c>
      <c r="C200" s="31">
        <f>IF(ISNUMBER(C188) = FALSE, C189, C189-0.1)</f>
        <v>4.1000000000000032</v>
      </c>
      <c r="D200" s="32" t="s">
        <v>26</v>
      </c>
      <c r="E200" s="39">
        <f>C199/C200</f>
        <v>182113821.13821122</v>
      </c>
      <c r="F200" s="40"/>
      <c r="G200" s="35"/>
    </row>
    <row r="201" spans="2:7" x14ac:dyDescent="0.45">
      <c r="B201" s="7">
        <v>19</v>
      </c>
      <c r="C201" s="8" t="s">
        <v>9</v>
      </c>
      <c r="D201" s="9" t="s">
        <v>10</v>
      </c>
      <c r="E201" s="8" t="s">
        <v>9</v>
      </c>
      <c r="F201" s="9" t="s">
        <v>10</v>
      </c>
      <c r="G201" s="10" t="s">
        <v>11</v>
      </c>
    </row>
    <row r="202" spans="2:7" x14ac:dyDescent="0.45">
      <c r="B202" s="11" t="s">
        <v>12</v>
      </c>
      <c r="C202" s="12">
        <v>23</v>
      </c>
      <c r="D202" s="13">
        <f>IF(ISNUMBER(C202) = TRUE, C202*10^C207*1000/C208, "N/A")</f>
        <v>460000000</v>
      </c>
      <c r="E202" s="12">
        <v>4</v>
      </c>
      <c r="F202" s="13">
        <f>IF(ISNUMBER(E202) = TRUE,E202*10^E$207*1000/E$208, "N/A")</f>
        <v>800000000</v>
      </c>
      <c r="G202" s="14">
        <v>1.79</v>
      </c>
    </row>
    <row r="203" spans="2:7" x14ac:dyDescent="0.45">
      <c r="B203" s="11" t="s">
        <v>13</v>
      </c>
      <c r="C203" s="12">
        <v>30</v>
      </c>
      <c r="D203" s="13">
        <f>IF(ISNUMBER(C203) = TRUE, C203*10^C207*1000/C208, "N/A")</f>
        <v>600000000</v>
      </c>
      <c r="E203" s="12">
        <v>4</v>
      </c>
      <c r="F203" s="13">
        <f t="shared" ref="F203:F206" si="1">IF(ISNUMBER(E203) = TRUE,E203*10^E$207*1000/E$208, "N/A")</f>
        <v>800000000</v>
      </c>
      <c r="G203" s="14">
        <v>1.77</v>
      </c>
    </row>
    <row r="204" spans="2:7" x14ac:dyDescent="0.45">
      <c r="B204" s="11" t="s">
        <v>14</v>
      </c>
      <c r="C204" s="12">
        <v>27</v>
      </c>
      <c r="D204" s="13">
        <f>IF(ISNUMBER(C204) = TRUE, C204*10^C207*1000/C208, "N/A")</f>
        <v>540000000</v>
      </c>
      <c r="E204" s="12">
        <v>4</v>
      </c>
      <c r="F204" s="13">
        <f t="shared" si="1"/>
        <v>800000000</v>
      </c>
      <c r="G204" s="14">
        <v>1.78</v>
      </c>
    </row>
    <row r="205" spans="2:7" x14ac:dyDescent="0.45">
      <c r="B205" s="11" t="s">
        <v>15</v>
      </c>
      <c r="C205" s="12"/>
      <c r="D205" s="13" t="str">
        <f>IF(ISNUMBER(C205) = TRUE, C205*10^C207*1000/C208, "N/A")</f>
        <v>N/A</v>
      </c>
      <c r="E205" s="12"/>
      <c r="F205" s="13" t="str">
        <f>IF(ISNUMBER(E205) = TRUE,E205*10^E$207*1000/E$208, "N/A")</f>
        <v>N/A</v>
      </c>
      <c r="G205" s="14">
        <v>1.78</v>
      </c>
    </row>
    <row r="206" spans="2:7" x14ac:dyDescent="0.45">
      <c r="B206" s="15" t="s">
        <v>16</v>
      </c>
      <c r="C206" s="16"/>
      <c r="D206" s="13" t="str">
        <f>IF(ISNUMBER(C206) = TRUE, C206*10^C207*1000/C208, "N/A")</f>
        <v>N/A</v>
      </c>
      <c r="E206" s="16"/>
      <c r="F206" s="13" t="str">
        <f t="shared" si="1"/>
        <v>N/A</v>
      </c>
      <c r="G206" s="17">
        <v>1.78</v>
      </c>
    </row>
    <row r="207" spans="2:7" x14ac:dyDescent="0.45">
      <c r="B207" s="18" t="s">
        <v>17</v>
      </c>
      <c r="C207" s="19">
        <v>5</v>
      </c>
      <c r="D207" s="20"/>
      <c r="E207" s="36">
        <v>6</v>
      </c>
      <c r="F207" s="20"/>
      <c r="G207" s="21" t="s">
        <v>18</v>
      </c>
    </row>
    <row r="208" spans="2:7" x14ac:dyDescent="0.45">
      <c r="B208" s="15" t="s">
        <v>19</v>
      </c>
      <c r="C208" s="22">
        <v>5</v>
      </c>
      <c r="D208" s="23"/>
      <c r="E208" s="37">
        <v>5</v>
      </c>
      <c r="F208" s="23"/>
      <c r="G208" s="14">
        <f>_xlfn.STDEV.P(G202:G206)</f>
        <v>6.324555320336764E-3</v>
      </c>
    </row>
    <row r="209" spans="2:7" x14ac:dyDescent="0.45">
      <c r="B209" s="11" t="s">
        <v>20</v>
      </c>
      <c r="C209" s="12">
        <f>IF(ISBLANK(#REF!) = FALSE, (_xlfn.STDEV.P(D202:D206)^2+_xlfn.STDEV.P(F202:F206)^2)^(1/2), _xlfn.STDEV.P(D202:D206))</f>
        <v>57348835.11361751</v>
      </c>
      <c r="D209" s="24" t="s">
        <v>21</v>
      </c>
      <c r="E209" s="25">
        <f>E198+0.5</f>
        <v>9.25</v>
      </c>
      <c r="F209" s="26">
        <f>F198+0.5</f>
        <v>9</v>
      </c>
      <c r="G209" s="21" t="s">
        <v>22</v>
      </c>
    </row>
    <row r="210" spans="2:7" x14ac:dyDescent="0.45">
      <c r="B210" s="11" t="s">
        <v>23</v>
      </c>
      <c r="C210" s="12">
        <f>IF(ISBLANK(#REF!) = FALSE, (AVERAGE(D202:D206)+AVERAGE(F202:F206))/2, AVERAGE(D202:D206))</f>
        <v>666666666.66666663</v>
      </c>
      <c r="D210" s="24" t="s">
        <v>24</v>
      </c>
      <c r="E210" s="38">
        <f>E199+0.5/24</f>
        <v>0.99791666666666712</v>
      </c>
      <c r="F210" s="13"/>
      <c r="G210" s="29">
        <f>AVERAGE(G202:G206)</f>
        <v>1.78</v>
      </c>
    </row>
    <row r="211" spans="2:7" ht="15.4" thickBot="1" x14ac:dyDescent="0.5">
      <c r="B211" s="30" t="s">
        <v>25</v>
      </c>
      <c r="C211" s="31">
        <f>IF(ISNUMBER(C199) = FALSE, C200, C200-0.1)</f>
        <v>4.0000000000000036</v>
      </c>
      <c r="D211" s="32" t="s">
        <v>26</v>
      </c>
      <c r="E211" s="39">
        <f>C210/C211</f>
        <v>166666666.66666651</v>
      </c>
      <c r="F211" s="40"/>
      <c r="G211" s="35"/>
    </row>
    <row r="212" spans="2:7" x14ac:dyDescent="0.45">
      <c r="B212" s="7">
        <v>20</v>
      </c>
      <c r="C212" s="8" t="s">
        <v>9</v>
      </c>
      <c r="D212" s="9" t="s">
        <v>10</v>
      </c>
      <c r="E212" s="8" t="s">
        <v>9</v>
      </c>
      <c r="F212" s="9" t="s">
        <v>10</v>
      </c>
      <c r="G212" s="10" t="s">
        <v>11</v>
      </c>
    </row>
    <row r="213" spans="2:7" x14ac:dyDescent="0.45">
      <c r="B213" s="11" t="s">
        <v>12</v>
      </c>
      <c r="C213" s="12">
        <v>28</v>
      </c>
      <c r="D213" s="13">
        <f>IF(ISNUMBER(C213) = TRUE,C213* 10^C$218*1000/C$219, "N/A")</f>
        <v>560000000</v>
      </c>
      <c r="E213" s="12">
        <v>2</v>
      </c>
      <c r="F213" s="13">
        <f>IF(ISNUMBER(E213) = TRUE,E213* 10^E$218*1000/E$219, "N/A")</f>
        <v>400000000</v>
      </c>
      <c r="G213" s="14">
        <v>1.85</v>
      </c>
    </row>
    <row r="214" spans="2:7" x14ac:dyDescent="0.45">
      <c r="B214" s="11" t="s">
        <v>13</v>
      </c>
      <c r="C214" s="12">
        <v>32</v>
      </c>
      <c r="D214" s="13">
        <f t="shared" ref="D214:D217" si="2">IF(ISNUMBER(C214) = TRUE,C214* 10^C$218*1000/C$219, "N/A")</f>
        <v>640000000</v>
      </c>
      <c r="E214" s="12">
        <v>1</v>
      </c>
      <c r="F214" s="13">
        <f t="shared" ref="F214:F216" si="3">IF(ISNUMBER(E214) = TRUE,E214* 10^E$218*1000/E$219, "N/A")</f>
        <v>200000000</v>
      </c>
      <c r="G214" s="14">
        <v>1.86</v>
      </c>
    </row>
    <row r="215" spans="2:7" x14ac:dyDescent="0.45">
      <c r="B215" s="11" t="s">
        <v>14</v>
      </c>
      <c r="C215" s="12">
        <v>28</v>
      </c>
      <c r="D215" s="13">
        <f t="shared" si="2"/>
        <v>560000000</v>
      </c>
      <c r="E215" s="12">
        <v>3</v>
      </c>
      <c r="F215" s="13">
        <f t="shared" si="3"/>
        <v>600000000</v>
      </c>
      <c r="G215" s="14">
        <v>1.86</v>
      </c>
    </row>
    <row r="216" spans="2:7" x14ac:dyDescent="0.45">
      <c r="B216" s="11" t="s">
        <v>15</v>
      </c>
      <c r="C216" s="12">
        <v>24</v>
      </c>
      <c r="D216" s="13">
        <f t="shared" si="2"/>
        <v>480000000</v>
      </c>
      <c r="E216" s="12">
        <v>2</v>
      </c>
      <c r="F216" s="13">
        <f t="shared" si="3"/>
        <v>400000000</v>
      </c>
      <c r="G216" s="14">
        <v>1.84</v>
      </c>
    </row>
    <row r="217" spans="2:7" x14ac:dyDescent="0.45">
      <c r="B217" s="15" t="s">
        <v>16</v>
      </c>
      <c r="C217" s="16">
        <v>31</v>
      </c>
      <c r="D217" s="13">
        <f t="shared" si="2"/>
        <v>620000000</v>
      </c>
      <c r="E217" s="16"/>
      <c r="F217" s="13" t="str">
        <f>IF(ISNUMBER(E217) = TRUE,E217* 10^E$218*1000/E$219, "N/A")</f>
        <v>N/A</v>
      </c>
      <c r="G217" s="17">
        <v>1.86</v>
      </c>
    </row>
    <row r="218" spans="2:7" x14ac:dyDescent="0.45">
      <c r="B218" s="18" t="s">
        <v>17</v>
      </c>
      <c r="C218" s="19">
        <v>5</v>
      </c>
      <c r="D218" s="20"/>
      <c r="E218" s="36">
        <v>6</v>
      </c>
      <c r="F218" s="20"/>
      <c r="G218" s="21" t="s">
        <v>18</v>
      </c>
    </row>
    <row r="219" spans="2:7" x14ac:dyDescent="0.45">
      <c r="B219" s="15" t="s">
        <v>19</v>
      </c>
      <c r="C219" s="22">
        <v>5</v>
      </c>
      <c r="D219" s="23"/>
      <c r="E219" s="37">
        <v>5</v>
      </c>
      <c r="F219" s="23"/>
      <c r="G219" s="14">
        <f>_xlfn.STDEV.P(G213:G217)</f>
        <v>8.0000000000000071E-3</v>
      </c>
    </row>
    <row r="220" spans="2:7" x14ac:dyDescent="0.45">
      <c r="B220" s="11" t="s">
        <v>20</v>
      </c>
      <c r="C220" s="12">
        <f>IF(ISBLANK(#REF!) = FALSE, (_xlfn.STDEV.P(D213:D217)^2+_xlfn.STDEV.P(F213:F217)^2)^(1/2), _xlfn.STDEV.P(D213:D217))</f>
        <v>152105226.73465237</v>
      </c>
      <c r="D220" s="24" t="s">
        <v>21</v>
      </c>
      <c r="E220" s="25">
        <f>E209+0.5</f>
        <v>9.75</v>
      </c>
      <c r="F220" s="26">
        <f>F209+0.5</f>
        <v>9.5</v>
      </c>
      <c r="G220" s="21" t="s">
        <v>22</v>
      </c>
    </row>
    <row r="221" spans="2:7" x14ac:dyDescent="0.45">
      <c r="B221" s="11" t="s">
        <v>23</v>
      </c>
      <c r="C221" s="12">
        <f>IF(ISBLANK(E213) = FALSE, (AVERAGE(D213:D217)+AVERAGE(F213:F217))/2, AVERAGE(D213:D217))</f>
        <v>486000000</v>
      </c>
      <c r="D221" s="24" t="s">
        <v>24</v>
      </c>
      <c r="E221" s="38">
        <f>E210+0.5/24</f>
        <v>1.0187500000000005</v>
      </c>
      <c r="F221" s="13"/>
      <c r="G221" s="29">
        <f>AVERAGE(G213:G217)</f>
        <v>1.8539999999999999</v>
      </c>
    </row>
    <row r="222" spans="2:7" ht="15.4" thickBot="1" x14ac:dyDescent="0.5">
      <c r="B222" s="30" t="s">
        <v>25</v>
      </c>
      <c r="C222" s="31">
        <f>IF(ISNUMBER(C210) = FALSE, C211, C211-0.1)</f>
        <v>3.9000000000000035</v>
      </c>
      <c r="D222" s="32" t="s">
        <v>26</v>
      </c>
      <c r="E222" s="39">
        <f>C221/C222</f>
        <v>124615384.6153845</v>
      </c>
      <c r="F222" s="40"/>
      <c r="G222" s="35"/>
    </row>
    <row r="223" spans="2:7" x14ac:dyDescent="0.45">
      <c r="B223" s="7">
        <v>21</v>
      </c>
      <c r="C223" s="8" t="s">
        <v>9</v>
      </c>
      <c r="D223" s="9" t="s">
        <v>10</v>
      </c>
      <c r="E223" s="8" t="s">
        <v>9</v>
      </c>
      <c r="F223" s="9" t="s">
        <v>10</v>
      </c>
      <c r="G223" s="10" t="s">
        <v>11</v>
      </c>
    </row>
    <row r="224" spans="2:7" x14ac:dyDescent="0.45">
      <c r="B224" s="11" t="s">
        <v>12</v>
      </c>
      <c r="C224" s="12">
        <v>26</v>
      </c>
      <c r="D224" s="13">
        <f>IF(ISNUMBER(C224) = TRUE, C224*10^C229*1000/C230, "N/A")</f>
        <v>520000000</v>
      </c>
      <c r="E224" s="12">
        <v>2</v>
      </c>
      <c r="F224" s="13">
        <f>IF(ISNUMBER(E224) = TRUE,E224* 10^E$229*1000/E$230, "N/A")</f>
        <v>400000000</v>
      </c>
      <c r="G224" s="14">
        <v>1.92</v>
      </c>
    </row>
    <row r="225" spans="2:7" x14ac:dyDescent="0.45">
      <c r="B225" s="11" t="s">
        <v>13</v>
      </c>
      <c r="C225" s="12">
        <v>23</v>
      </c>
      <c r="D225" s="13">
        <f>IF(ISNUMBER(C225) = TRUE, C225*10^C229*1000/C230, "N/A")</f>
        <v>460000000</v>
      </c>
      <c r="E225" s="12">
        <v>2</v>
      </c>
      <c r="F225" s="13">
        <f t="shared" ref="F225:F228" si="4">IF(ISNUMBER(E225) = TRUE,E225* 10^E$229*1000/E$230, "N/A")</f>
        <v>400000000</v>
      </c>
      <c r="G225" s="14">
        <v>1.9</v>
      </c>
    </row>
    <row r="226" spans="2:7" x14ac:dyDescent="0.45">
      <c r="B226" s="11" t="s">
        <v>14</v>
      </c>
      <c r="C226" s="12">
        <v>24</v>
      </c>
      <c r="D226" s="13">
        <f>IF(ISNUMBER(C226) = TRUE, C226*10^C229*1000/C230, "N/A")</f>
        <v>480000000</v>
      </c>
      <c r="E226" s="12">
        <v>2</v>
      </c>
      <c r="F226" s="13">
        <f t="shared" si="4"/>
        <v>400000000</v>
      </c>
      <c r="G226" s="14">
        <v>1.91</v>
      </c>
    </row>
    <row r="227" spans="2:7" x14ac:dyDescent="0.45">
      <c r="B227" s="11" t="s">
        <v>15</v>
      </c>
      <c r="C227" s="12">
        <v>24</v>
      </c>
      <c r="D227" s="13">
        <f>IF(ISNUMBER(C227) = TRUE, C227*10^C229*1000/C230, "N/A")</f>
        <v>480000000</v>
      </c>
      <c r="E227" s="12">
        <v>1</v>
      </c>
      <c r="F227" s="13">
        <f t="shared" si="4"/>
        <v>200000000</v>
      </c>
      <c r="G227" s="14">
        <v>1.91</v>
      </c>
    </row>
    <row r="228" spans="2:7" x14ac:dyDescent="0.45">
      <c r="B228" s="15" t="s">
        <v>16</v>
      </c>
      <c r="C228" s="16"/>
      <c r="D228" s="13" t="str">
        <f>IF(ISNUMBER(C228) = TRUE, C228*10^C229*1000/C230, "N/A")</f>
        <v>N/A</v>
      </c>
      <c r="E228" s="16"/>
      <c r="F228" s="13" t="str">
        <f t="shared" si="4"/>
        <v>N/A</v>
      </c>
      <c r="G228" s="17">
        <v>1.91</v>
      </c>
    </row>
    <row r="229" spans="2:7" x14ac:dyDescent="0.45">
      <c r="B229" s="18" t="s">
        <v>17</v>
      </c>
      <c r="C229" s="19">
        <v>5</v>
      </c>
      <c r="D229" s="20"/>
      <c r="E229" s="36">
        <v>6</v>
      </c>
      <c r="F229" s="20"/>
      <c r="G229" s="21" t="s">
        <v>18</v>
      </c>
    </row>
    <row r="230" spans="2:7" x14ac:dyDescent="0.45">
      <c r="B230" s="15" t="s">
        <v>19</v>
      </c>
      <c r="C230" s="22">
        <v>5</v>
      </c>
      <c r="D230" s="23"/>
      <c r="E230" s="37">
        <v>5</v>
      </c>
      <c r="F230" s="23"/>
      <c r="G230" s="14">
        <f>_xlfn.STDEV.P(G224:G228)</f>
        <v>6.324555320336764E-3</v>
      </c>
    </row>
    <row r="231" spans="2:7" x14ac:dyDescent="0.45">
      <c r="B231" s="11" t="s">
        <v>20</v>
      </c>
      <c r="C231" s="12">
        <f>IF(ISBLANK(#REF!) = FALSE, (_xlfn.STDEV.P(D224:D228)^2+_xlfn.STDEV.P(F224:F228)^2)^(1/2), _xlfn.STDEV.P(D224:D228))</f>
        <v>89302855.497458756</v>
      </c>
      <c r="D231" s="24" t="s">
        <v>21</v>
      </c>
      <c r="E231" s="25">
        <f>E220+0.5</f>
        <v>10.25</v>
      </c>
      <c r="F231" s="26">
        <f>F220+0.5</f>
        <v>10</v>
      </c>
      <c r="G231" s="21" t="s">
        <v>22</v>
      </c>
    </row>
    <row r="232" spans="2:7" x14ac:dyDescent="0.45">
      <c r="B232" s="11" t="s">
        <v>23</v>
      </c>
      <c r="C232" s="12">
        <f>IF(ISBLANK(#REF!) = FALSE, (AVERAGE(D224:D228)+AVERAGE(F224:F228))/2, AVERAGE(D224:D228))</f>
        <v>417500000</v>
      </c>
      <c r="D232" s="24" t="s">
        <v>24</v>
      </c>
      <c r="E232" s="38">
        <f>E221+0.5/24</f>
        <v>1.0395833333333337</v>
      </c>
      <c r="F232" s="13"/>
      <c r="G232" s="29">
        <f>AVERAGE(G224:G228)</f>
        <v>1.9099999999999997</v>
      </c>
    </row>
    <row r="233" spans="2:7" ht="15.4" thickBot="1" x14ac:dyDescent="0.5">
      <c r="B233" s="30" t="s">
        <v>25</v>
      </c>
      <c r="C233" s="31">
        <f>IF(ISNUMBER(C221) = FALSE, C222, C222-0.1)</f>
        <v>3.8000000000000034</v>
      </c>
      <c r="D233" s="32" t="s">
        <v>26</v>
      </c>
      <c r="E233" s="39">
        <f>C232/C233</f>
        <v>109868421.05263148</v>
      </c>
      <c r="F233" s="40"/>
      <c r="G233" s="35"/>
    </row>
    <row r="234" spans="2:7" x14ac:dyDescent="0.45">
      <c r="B234" s="7">
        <v>22</v>
      </c>
      <c r="C234" s="8" t="s">
        <v>9</v>
      </c>
      <c r="D234" s="9" t="s">
        <v>10</v>
      </c>
      <c r="E234" s="8" t="s">
        <v>9</v>
      </c>
      <c r="F234" s="9" t="s">
        <v>10</v>
      </c>
      <c r="G234" s="10" t="s">
        <v>11</v>
      </c>
    </row>
    <row r="235" spans="2:7" x14ac:dyDescent="0.45">
      <c r="B235" s="11" t="s">
        <v>12</v>
      </c>
      <c r="C235" s="12"/>
      <c r="D235" s="13" t="str">
        <f>IF(ISNUMBER(C235) = TRUE, C235*10^C240*1000/C241, "N/A")</f>
        <v>N/A</v>
      </c>
      <c r="E235" s="12"/>
      <c r="F235" s="13" t="str">
        <f>IF(ISNUMBER(E235) = TRUE, E235*10^E240*1000/E241, "N/A")</f>
        <v>N/A</v>
      </c>
      <c r="G235" s="14">
        <v>1.96</v>
      </c>
    </row>
    <row r="236" spans="2:7" x14ac:dyDescent="0.45">
      <c r="B236" s="11" t="s">
        <v>13</v>
      </c>
      <c r="C236" s="12"/>
      <c r="D236" s="13" t="str">
        <f>IF(ISNUMBER(C236) = TRUE, C236*10^C240*1000/C241, "N/A")</f>
        <v>N/A</v>
      </c>
      <c r="E236" s="12"/>
      <c r="F236" s="13" t="str">
        <f>IF(ISNUMBER(E236) = TRUE, E236*10^E240*1000/E241, "N/A")</f>
        <v>N/A</v>
      </c>
      <c r="G236" s="14">
        <v>1.94</v>
      </c>
    </row>
    <row r="237" spans="2:7" x14ac:dyDescent="0.45">
      <c r="B237" s="11" t="s">
        <v>14</v>
      </c>
      <c r="C237" s="12"/>
      <c r="D237" s="13" t="str">
        <f>IF(ISNUMBER(C237) = TRUE, C237*10^C240*1000/C241, "N/A")</f>
        <v>N/A</v>
      </c>
      <c r="E237" s="12"/>
      <c r="F237" s="13" t="str">
        <f>IF(ISNUMBER(E237) = TRUE, E237*10^E240*1000/E241, "N/A")</f>
        <v>N/A</v>
      </c>
      <c r="G237" s="14">
        <v>1.97</v>
      </c>
    </row>
    <row r="238" spans="2:7" x14ac:dyDescent="0.45">
      <c r="B238" s="11" t="s">
        <v>15</v>
      </c>
      <c r="C238" s="12"/>
      <c r="D238" s="13" t="str">
        <f>IF(ISNUMBER(C238) = TRUE, C238*10^C240*1000/C241, "N/A")</f>
        <v>N/A</v>
      </c>
      <c r="E238" s="12"/>
      <c r="F238" s="13" t="str">
        <f>IF(ISNUMBER(E238) = TRUE, E238*10^E240*1000/E241, "N/A")</f>
        <v>N/A</v>
      </c>
      <c r="G238" s="14">
        <v>1.97</v>
      </c>
    </row>
    <row r="239" spans="2:7" x14ac:dyDescent="0.45">
      <c r="B239" s="15" t="s">
        <v>16</v>
      </c>
      <c r="C239" s="16"/>
      <c r="D239" s="13" t="str">
        <f>IF(ISNUMBER(C239) = TRUE, C239*10^C240*1000/C241, "N/A")</f>
        <v>N/A</v>
      </c>
      <c r="E239" s="16"/>
      <c r="F239" s="13" t="str">
        <f>IF(ISNUMBER(E239) = TRUE, E239*10^E240*1000/E241, "N/A")</f>
        <v>N/A</v>
      </c>
      <c r="G239" s="17">
        <v>1.96</v>
      </c>
    </row>
    <row r="240" spans="2:7" x14ac:dyDescent="0.45">
      <c r="B240" s="18" t="s">
        <v>17</v>
      </c>
      <c r="C240" s="19"/>
      <c r="D240" s="20"/>
      <c r="E240" s="36"/>
      <c r="F240" s="20"/>
      <c r="G240" s="21" t="s">
        <v>18</v>
      </c>
    </row>
    <row r="241" spans="2:7" x14ac:dyDescent="0.45">
      <c r="B241" s="15" t="s">
        <v>19</v>
      </c>
      <c r="C241" s="22">
        <v>5</v>
      </c>
      <c r="D241" s="23"/>
      <c r="E241" s="37">
        <v>5</v>
      </c>
      <c r="F241" s="23"/>
      <c r="G241" s="14">
        <f>_xlfn.STDEV.P(G235:G239)</f>
        <v>1.0954451150103331E-2</v>
      </c>
    </row>
    <row r="242" spans="2:7" x14ac:dyDescent="0.45">
      <c r="B242" s="11" t="s">
        <v>20</v>
      </c>
      <c r="C242" s="12" t="e">
        <f>_xlfn.STDEV.P(D235:D239,F235:F239)</f>
        <v>#DIV/0!</v>
      </c>
      <c r="D242" s="24" t="s">
        <v>21</v>
      </c>
      <c r="E242" s="25">
        <f>E231+0.5</f>
        <v>10.75</v>
      </c>
      <c r="F242" s="26">
        <f>F231+0.5</f>
        <v>10.5</v>
      </c>
      <c r="G242" s="21" t="s">
        <v>22</v>
      </c>
    </row>
    <row r="243" spans="2:7" x14ac:dyDescent="0.45">
      <c r="B243" s="11" t="s">
        <v>23</v>
      </c>
      <c r="C243" s="12" t="e">
        <f>AVERAGE(D235:D239,F235:F239)</f>
        <v>#DIV/0!</v>
      </c>
      <c r="D243" s="24" t="s">
        <v>24</v>
      </c>
      <c r="E243" s="38">
        <f>E232+0.5/24</f>
        <v>1.060416666666667</v>
      </c>
      <c r="F243" s="13"/>
      <c r="G243" s="29">
        <f>AVERAGE(G235:G239)</f>
        <v>1.9600000000000002</v>
      </c>
    </row>
    <row r="244" spans="2:7" ht="15.4" thickBot="1" x14ac:dyDescent="0.5">
      <c r="B244" s="30" t="s">
        <v>25</v>
      </c>
      <c r="C244" s="31">
        <f>IF(ISNUMBER(C232) = FALSE, C233, C233-0.1)</f>
        <v>3.7000000000000033</v>
      </c>
      <c r="D244" s="32" t="s">
        <v>26</v>
      </c>
      <c r="E244" s="39" t="e">
        <f>C243/C244</f>
        <v>#DIV/0!</v>
      </c>
      <c r="F244" s="40"/>
      <c r="G244" s="35"/>
    </row>
    <row r="245" spans="2:7" x14ac:dyDescent="0.45">
      <c r="B245" s="7">
        <v>23</v>
      </c>
      <c r="C245" s="8" t="s">
        <v>9</v>
      </c>
      <c r="D245" s="9" t="s">
        <v>10</v>
      </c>
      <c r="E245" s="8" t="s">
        <v>9</v>
      </c>
      <c r="F245" s="9" t="s">
        <v>10</v>
      </c>
      <c r="G245" s="10" t="s">
        <v>11</v>
      </c>
    </row>
    <row r="246" spans="2:7" x14ac:dyDescent="0.45">
      <c r="B246" s="11" t="s">
        <v>12</v>
      </c>
      <c r="C246" s="12"/>
      <c r="D246" s="13" t="str">
        <f>IF(ISNUMBER(C246) = TRUE, C246*10^C251*1000/C252, "N/A")</f>
        <v>N/A</v>
      </c>
      <c r="E246" s="12"/>
      <c r="F246" s="13" t="str">
        <f>IF(ISNUMBER(E246) = TRUE, E246*10^E251*1000/E252, "N/A")</f>
        <v>N/A</v>
      </c>
      <c r="G246" s="14">
        <v>1.98</v>
      </c>
    </row>
    <row r="247" spans="2:7" x14ac:dyDescent="0.45">
      <c r="B247" s="11" t="s">
        <v>13</v>
      </c>
      <c r="C247" s="12"/>
      <c r="D247" s="13" t="str">
        <f>IF(ISNUMBER(C247) = TRUE, C247*10^C251*1000/C252, "N/A")</f>
        <v>N/A</v>
      </c>
      <c r="E247" s="12"/>
      <c r="F247" s="13" t="str">
        <f>IF(ISNUMBER(E247) = TRUE, E247*10^E251*1000/E252, "N/A")</f>
        <v>N/A</v>
      </c>
      <c r="G247" s="14">
        <v>2</v>
      </c>
    </row>
    <row r="248" spans="2:7" x14ac:dyDescent="0.45">
      <c r="B248" s="11" t="s">
        <v>14</v>
      </c>
      <c r="C248" s="12"/>
      <c r="D248" s="13" t="str">
        <f>IF(ISNUMBER(C248) = TRUE, C248*10^C251*1000/C252, "N/A")</f>
        <v>N/A</v>
      </c>
      <c r="E248" s="12"/>
      <c r="F248" s="13" t="str">
        <f>IF(ISNUMBER(E248) = TRUE, E248*10^E251*1000/E252, "N/A")</f>
        <v>N/A</v>
      </c>
      <c r="G248" s="14">
        <v>1.97</v>
      </c>
    </row>
    <row r="249" spans="2:7" x14ac:dyDescent="0.45">
      <c r="B249" s="11" t="s">
        <v>15</v>
      </c>
      <c r="C249" s="12"/>
      <c r="D249" s="13" t="str">
        <f>IF(ISNUMBER(C249) = TRUE, C249*10^C251*1000/C252, "N/A")</f>
        <v>N/A</v>
      </c>
      <c r="E249" s="12"/>
      <c r="F249" s="13" t="str">
        <f>IF(ISNUMBER(E249) = TRUE, E249*10^E251*1000/E252, "N/A")</f>
        <v>N/A</v>
      </c>
      <c r="G249" s="14">
        <v>1.95</v>
      </c>
    </row>
    <row r="250" spans="2:7" x14ac:dyDescent="0.45">
      <c r="B250" s="15" t="s">
        <v>16</v>
      </c>
      <c r="C250" s="16"/>
      <c r="D250" s="13" t="str">
        <f>IF(ISNUMBER(C250) = TRUE, C250*10^C251*1000/C252, "N/A")</f>
        <v>N/A</v>
      </c>
      <c r="E250" s="16"/>
      <c r="F250" s="13" t="str">
        <f>IF(ISNUMBER(E250) = TRUE, E250*10^E251*1000/E252, "N/A")</f>
        <v>N/A</v>
      </c>
      <c r="G250" s="17">
        <v>1.97</v>
      </c>
    </row>
    <row r="251" spans="2:7" x14ac:dyDescent="0.45">
      <c r="B251" s="18" t="s">
        <v>17</v>
      </c>
      <c r="C251" s="19"/>
      <c r="D251" s="20"/>
      <c r="E251" s="36"/>
      <c r="F251" s="20"/>
      <c r="G251" s="21" t="s">
        <v>18</v>
      </c>
    </row>
    <row r="252" spans="2:7" x14ac:dyDescent="0.45">
      <c r="B252" s="15" t="s">
        <v>19</v>
      </c>
      <c r="C252" s="22">
        <v>5</v>
      </c>
      <c r="D252" s="23"/>
      <c r="E252" s="37">
        <v>5</v>
      </c>
      <c r="F252" s="23"/>
      <c r="G252" s="14">
        <f>_xlfn.STDEV.P(G246:G250)</f>
        <v>1.6248076809271934E-2</v>
      </c>
    </row>
    <row r="253" spans="2:7" x14ac:dyDescent="0.45">
      <c r="B253" s="11" t="s">
        <v>20</v>
      </c>
      <c r="C253" s="12" t="e">
        <f>_xlfn.STDEV.P(D246:D250,F246:F250)</f>
        <v>#DIV/0!</v>
      </c>
      <c r="D253" s="24" t="s">
        <v>21</v>
      </c>
      <c r="E253" s="25">
        <f>E242+0.25</f>
        <v>11</v>
      </c>
      <c r="F253" s="26">
        <f>F242+0.25</f>
        <v>10.75</v>
      </c>
      <c r="G253" s="21" t="s">
        <v>22</v>
      </c>
    </row>
    <row r="254" spans="2:7" x14ac:dyDescent="0.45">
      <c r="B254" s="11" t="s">
        <v>23</v>
      </c>
      <c r="C254" s="12" t="e">
        <f>AVERAGE(D246:D250,F246:F250)</f>
        <v>#DIV/0!</v>
      </c>
      <c r="D254" s="24" t="s">
        <v>24</v>
      </c>
      <c r="E254" s="38">
        <f>E243+0.25/24</f>
        <v>1.0708333333333337</v>
      </c>
      <c r="F254" s="13"/>
      <c r="G254" s="29">
        <f>AVERAGE(G246:G250)</f>
        <v>1.9740000000000002</v>
      </c>
    </row>
    <row r="255" spans="2:7" ht="15.4" thickBot="1" x14ac:dyDescent="0.5">
      <c r="B255" s="30" t="s">
        <v>25</v>
      </c>
      <c r="C255" s="31">
        <f>IF(ISNUMBER(C243) = FALSE, C244, C244-0.1)</f>
        <v>3.7000000000000033</v>
      </c>
      <c r="D255" s="32" t="s">
        <v>26</v>
      </c>
      <c r="E255" s="39" t="e">
        <f>C254/C255</f>
        <v>#DIV/0!</v>
      </c>
      <c r="F255" s="40"/>
      <c r="G255" s="35"/>
    </row>
    <row r="256" spans="2:7" x14ac:dyDescent="0.45">
      <c r="B256" s="7">
        <v>24</v>
      </c>
      <c r="C256" s="8" t="s">
        <v>9</v>
      </c>
      <c r="D256" s="9" t="s">
        <v>10</v>
      </c>
      <c r="E256" s="8" t="s">
        <v>9</v>
      </c>
      <c r="F256" s="9" t="s">
        <v>10</v>
      </c>
      <c r="G256" s="10" t="s">
        <v>11</v>
      </c>
    </row>
    <row r="257" spans="2:7" x14ac:dyDescent="0.45">
      <c r="B257" s="11" t="s">
        <v>12</v>
      </c>
      <c r="C257" s="12">
        <v>21</v>
      </c>
      <c r="D257" s="13">
        <f>IF(ISNUMBER(C257) = TRUE, C257*10^C262*1000/C263, "N/A")</f>
        <v>420000000</v>
      </c>
      <c r="E257" s="12">
        <v>2</v>
      </c>
      <c r="F257" s="13">
        <f>IF(ISNUMBER(E257) = TRUE, E257*10^E262*1000/E263, "N/A")</f>
        <v>400000000</v>
      </c>
      <c r="G257" s="14"/>
    </row>
    <row r="258" spans="2:7" x14ac:dyDescent="0.45">
      <c r="B258" s="11" t="s">
        <v>13</v>
      </c>
      <c r="C258" s="12">
        <v>20</v>
      </c>
      <c r="D258" s="13">
        <f>IF(ISNUMBER(C258) = TRUE, C258*10^C262*1000/C263, "N/A")</f>
        <v>400000000</v>
      </c>
      <c r="E258" s="12">
        <v>3</v>
      </c>
      <c r="F258" s="13">
        <f>IF(ISNUMBER(E258) = TRUE, E258*10^E262*1000/E263, "N/A")</f>
        <v>600000000</v>
      </c>
      <c r="G258" s="14"/>
    </row>
    <row r="259" spans="2:7" x14ac:dyDescent="0.45">
      <c r="B259" s="11" t="s">
        <v>14</v>
      </c>
      <c r="C259" s="12">
        <v>19</v>
      </c>
      <c r="D259" s="13">
        <f>IF(ISNUMBER(C259) = TRUE, C259*10^C262*1000/C263, "N/A")</f>
        <v>380000000</v>
      </c>
      <c r="E259" s="12">
        <v>3</v>
      </c>
      <c r="F259" s="13">
        <f>IF(ISNUMBER(E259) = TRUE, E259*10^E262*1000/E263, "N/A")</f>
        <v>600000000</v>
      </c>
      <c r="G259" s="14"/>
    </row>
    <row r="260" spans="2:7" x14ac:dyDescent="0.45">
      <c r="B260" s="11" t="s">
        <v>15</v>
      </c>
      <c r="C260" s="12">
        <v>19</v>
      </c>
      <c r="D260" s="13">
        <f>IF(ISNUMBER(C260) = TRUE, C260*10^C262*1000/C263, "N/A")</f>
        <v>380000000</v>
      </c>
      <c r="E260" s="12">
        <v>1</v>
      </c>
      <c r="F260" s="13">
        <f>IF(ISNUMBER(E260) = TRUE, E260*10^E262*1000/E263, "N/A")</f>
        <v>200000000</v>
      </c>
      <c r="G260" s="14"/>
    </row>
    <row r="261" spans="2:7" x14ac:dyDescent="0.45">
      <c r="B261" s="15" t="s">
        <v>16</v>
      </c>
      <c r="C261" s="16"/>
      <c r="D261" s="13" t="str">
        <f>IF(ISNUMBER(C261) = TRUE, C261*10^C262*1000/C263, "N/A")</f>
        <v>N/A</v>
      </c>
      <c r="E261" s="16"/>
      <c r="F261" s="13" t="str">
        <f>IF(ISNUMBER(E261) = TRUE, E261*10^E262*1000/E263, "N/A")</f>
        <v>N/A</v>
      </c>
      <c r="G261" s="17"/>
    </row>
    <row r="262" spans="2:7" x14ac:dyDescent="0.45">
      <c r="B262" s="18" t="s">
        <v>17</v>
      </c>
      <c r="C262" s="19">
        <v>5</v>
      </c>
      <c r="D262" s="20"/>
      <c r="E262" s="36">
        <v>6</v>
      </c>
      <c r="F262" s="20"/>
      <c r="G262" s="21" t="s">
        <v>18</v>
      </c>
    </row>
    <row r="263" spans="2:7" x14ac:dyDescent="0.45">
      <c r="B263" s="15" t="s">
        <v>19</v>
      </c>
      <c r="C263" s="22">
        <v>5</v>
      </c>
      <c r="D263" s="23"/>
      <c r="E263" s="37">
        <v>5</v>
      </c>
      <c r="F263" s="23"/>
      <c r="G263" s="14" t="e">
        <f>_xlfn.STDEV.P(G257:G261)</f>
        <v>#DIV/0!</v>
      </c>
    </row>
    <row r="264" spans="2:7" x14ac:dyDescent="0.45">
      <c r="B264" s="11" t="s">
        <v>20</v>
      </c>
      <c r="C264" s="12">
        <f>IF(ISBLANK(E257) = FALSE, (_xlfn.STDEV.P(D257:D261)^2+_xlfn.STDEV.P(F257:F261)^2)^(1/2), _xlfn.STDEV.P(D257:D261))</f>
        <v>166658333.12498957</v>
      </c>
      <c r="D264" s="24" t="s">
        <v>21</v>
      </c>
      <c r="E264" s="25">
        <f>E253+1</f>
        <v>12</v>
      </c>
      <c r="F264" s="26">
        <f>F253+1</f>
        <v>11.75</v>
      </c>
      <c r="G264" s="21" t="s">
        <v>22</v>
      </c>
    </row>
    <row r="265" spans="2:7" x14ac:dyDescent="0.45">
      <c r="B265" s="11" t="s">
        <v>23</v>
      </c>
      <c r="C265" s="12">
        <f>IF(ISBLANK(E257) = FALSE, (AVERAGE(D257:D261)+AVERAGE(F257:F261))/2, AVERAGE(D257:D261))</f>
        <v>422500000</v>
      </c>
      <c r="D265" s="24" t="s">
        <v>24</v>
      </c>
      <c r="E265" s="38">
        <f>E254+1/24</f>
        <v>1.1125000000000005</v>
      </c>
      <c r="F265" s="13"/>
      <c r="G265" s="29" t="e">
        <f>AVERAGE(G257:G261)</f>
        <v>#DIV/0!</v>
      </c>
    </row>
    <row r="266" spans="2:7" ht="15.4" thickBot="1" x14ac:dyDescent="0.5">
      <c r="B266" s="30" t="s">
        <v>25</v>
      </c>
      <c r="C266" s="31">
        <f>IF(ISNUMBER(C254) = FALSE, C255, C255-0.1)</f>
        <v>3.7000000000000033</v>
      </c>
      <c r="D266" s="32" t="s">
        <v>26</v>
      </c>
      <c r="E266" s="39">
        <f>C265/C266</f>
        <v>114189189.18918909</v>
      </c>
      <c r="F266" s="40"/>
      <c r="G266" s="35"/>
    </row>
    <row r="267" spans="2:7" x14ac:dyDescent="0.45">
      <c r="B267" s="7">
        <v>25</v>
      </c>
      <c r="C267" s="8" t="s">
        <v>9</v>
      </c>
      <c r="D267" s="9" t="s">
        <v>10</v>
      </c>
      <c r="E267" s="8" t="s">
        <v>9</v>
      </c>
      <c r="F267" s="9" t="s">
        <v>10</v>
      </c>
      <c r="G267" s="10" t="s">
        <v>11</v>
      </c>
    </row>
    <row r="268" spans="2:7" x14ac:dyDescent="0.45">
      <c r="B268" s="11" t="s">
        <v>12</v>
      </c>
      <c r="C268" s="12">
        <v>33</v>
      </c>
      <c r="D268" s="13">
        <f>IF(ISNUMBER(C268) = TRUE, C268*10^C273*1000/C274, "N/A")</f>
        <v>660000000</v>
      </c>
      <c r="E268" s="12"/>
      <c r="F268" s="13" t="str">
        <f>IF(ISNUMBER(E268) = TRUE, E268*10^E273*1000/E274, "N/A")</f>
        <v>N/A</v>
      </c>
      <c r="G268" s="14"/>
    </row>
    <row r="269" spans="2:7" x14ac:dyDescent="0.45">
      <c r="B269" s="11" t="s">
        <v>13</v>
      </c>
      <c r="C269" s="12">
        <v>43</v>
      </c>
      <c r="D269" s="13">
        <f>IF(ISNUMBER(C269) = TRUE, C269*10^C273*1000/C274, "N/A")</f>
        <v>860000000</v>
      </c>
      <c r="E269" s="12"/>
      <c r="F269" s="13" t="str">
        <f>IF(ISNUMBER(E269) = TRUE, E269*10^E273*1000/E274, "N/A")</f>
        <v>N/A</v>
      </c>
      <c r="G269" s="14"/>
    </row>
    <row r="270" spans="2:7" x14ac:dyDescent="0.45">
      <c r="B270" s="11" t="s">
        <v>14</v>
      </c>
      <c r="C270" s="12">
        <v>43</v>
      </c>
      <c r="D270" s="13">
        <f>IF(ISNUMBER(C270) = TRUE, C270*10^C273*1000/C274, "N/A")</f>
        <v>860000000</v>
      </c>
      <c r="E270" s="12"/>
      <c r="F270" s="13" t="str">
        <f>IF(ISNUMBER(E270) = TRUE, E270*10^E273*1000/E274, "N/A")</f>
        <v>N/A</v>
      </c>
      <c r="G270" s="14"/>
    </row>
    <row r="271" spans="2:7" x14ac:dyDescent="0.45">
      <c r="B271" s="11" t="s">
        <v>15</v>
      </c>
      <c r="C271" s="12">
        <v>42</v>
      </c>
      <c r="D271" s="13">
        <f>IF(ISNUMBER(C271) = TRUE, C271*10^C273*1000/C274, "N/A")</f>
        <v>840000000</v>
      </c>
      <c r="E271" s="12"/>
      <c r="F271" s="13" t="str">
        <f>IF(ISNUMBER(E271) = TRUE, E271*10^E273*1000/E274, "N/A")</f>
        <v>N/A</v>
      </c>
      <c r="G271" s="14"/>
    </row>
    <row r="272" spans="2:7" x14ac:dyDescent="0.45">
      <c r="B272" s="15" t="s">
        <v>16</v>
      </c>
      <c r="C272" s="16">
        <v>33</v>
      </c>
      <c r="D272" s="13">
        <f>IF(ISNUMBER(C272) = TRUE, C272*10^C273*1000/C274, "N/A")</f>
        <v>660000000</v>
      </c>
      <c r="E272" s="16"/>
      <c r="F272" s="13" t="str">
        <f>IF(ISNUMBER(E272) = TRUE, E272*10^E273*1000/E274, "N/A")</f>
        <v>N/A</v>
      </c>
      <c r="G272" s="17"/>
    </row>
    <row r="273" spans="2:7" x14ac:dyDescent="0.45">
      <c r="B273" s="18" t="s">
        <v>17</v>
      </c>
      <c r="C273" s="19">
        <v>5</v>
      </c>
      <c r="D273" s="20"/>
      <c r="E273" s="36"/>
      <c r="F273" s="20"/>
      <c r="G273" s="21" t="s">
        <v>18</v>
      </c>
    </row>
    <row r="274" spans="2:7" x14ac:dyDescent="0.45">
      <c r="B274" s="15" t="s">
        <v>19</v>
      </c>
      <c r="C274" s="22">
        <v>5</v>
      </c>
      <c r="D274" s="23"/>
      <c r="E274" s="37">
        <v>5</v>
      </c>
      <c r="F274" s="23"/>
      <c r="G274" s="14" t="e">
        <f>_xlfn.STDEV.P(G268:G272)</f>
        <v>#DIV/0!</v>
      </c>
    </row>
    <row r="275" spans="2:7" x14ac:dyDescent="0.45">
      <c r="B275" s="11" t="s">
        <v>20</v>
      </c>
      <c r="C275" s="12">
        <f>_xlfn.STDEV.P(D268:D272,F268:F272)</f>
        <v>94994736.696303338</v>
      </c>
      <c r="D275" s="24" t="s">
        <v>21</v>
      </c>
      <c r="E275" s="25">
        <f>E264+6-42/60</f>
        <v>17.3</v>
      </c>
      <c r="F275" s="26">
        <f>F264+6</f>
        <v>17.75</v>
      </c>
      <c r="G275" s="21" t="s">
        <v>22</v>
      </c>
    </row>
    <row r="276" spans="2:7" x14ac:dyDescent="0.45">
      <c r="B276" s="11" t="s">
        <v>23</v>
      </c>
      <c r="C276" s="12">
        <f>IF(ISBLANK(E268) = FALSE, (AVERAGE(D268:D272)+AVERAGE(F268:F272))/2, AVERAGE(D268:D272))</f>
        <v>776000000</v>
      </c>
      <c r="D276" s="24" t="s">
        <v>24</v>
      </c>
      <c r="E276" s="38">
        <f>E265+6/24-42/60/24</f>
        <v>1.3333333333333339</v>
      </c>
      <c r="F276" s="13"/>
      <c r="G276" s="29" t="e">
        <f>AVERAGE(G268:G272)</f>
        <v>#DIV/0!</v>
      </c>
    </row>
    <row r="277" spans="2:7" ht="15.4" thickBot="1" x14ac:dyDescent="0.5">
      <c r="B277" s="30" t="s">
        <v>25</v>
      </c>
      <c r="C277" s="31">
        <f>IF(ISNUMBER(C265) = FALSE, C266, C266-0.1)</f>
        <v>3.6000000000000032</v>
      </c>
      <c r="D277" s="32" t="s">
        <v>26</v>
      </c>
      <c r="E277" s="39">
        <f>C276/C277</f>
        <v>215555555.55555537</v>
      </c>
      <c r="F277" s="40"/>
      <c r="G277" s="35"/>
    </row>
    <row r="278" spans="2:7" x14ac:dyDescent="0.45">
      <c r="B278" s="7">
        <v>26</v>
      </c>
      <c r="C278" s="8" t="s">
        <v>9</v>
      </c>
      <c r="D278" s="9" t="s">
        <v>10</v>
      </c>
      <c r="E278" s="8" t="s">
        <v>9</v>
      </c>
      <c r="F278" s="9" t="s">
        <v>10</v>
      </c>
      <c r="G278" s="10" t="s">
        <v>11</v>
      </c>
    </row>
    <row r="279" spans="2:7" x14ac:dyDescent="0.45">
      <c r="B279" s="11" t="s">
        <v>12</v>
      </c>
      <c r="C279" s="12">
        <v>73</v>
      </c>
      <c r="D279" s="13">
        <f>IF(ISNUMBER(C279) = TRUE, C279*10^C284*1000/C285, "N/A")</f>
        <v>1460000000</v>
      </c>
      <c r="E279" s="12"/>
      <c r="F279" s="13" t="str">
        <f>IF(ISNUMBER(E279) = TRUE, E279*10^E284*1000/E285, "N/A")</f>
        <v>N/A</v>
      </c>
      <c r="G279" s="14"/>
    </row>
    <row r="280" spans="2:7" x14ac:dyDescent="0.45">
      <c r="B280" s="11" t="s">
        <v>13</v>
      </c>
      <c r="C280" s="12">
        <v>57</v>
      </c>
      <c r="D280" s="13">
        <f>IF(ISNUMBER(C280) = TRUE, C280*10^C284*1000/C285, "N/A")</f>
        <v>1140000000</v>
      </c>
      <c r="E280" s="12"/>
      <c r="F280" s="13" t="str">
        <f>IF(ISNUMBER(E280) = TRUE, E280*10^E284*1000/E285, "N/A")</f>
        <v>N/A</v>
      </c>
      <c r="G280" s="14"/>
    </row>
    <row r="281" spans="2:7" x14ac:dyDescent="0.45">
      <c r="B281" s="11" t="s">
        <v>14</v>
      </c>
      <c r="C281" s="12">
        <v>66</v>
      </c>
      <c r="D281" s="13">
        <f>IF(ISNUMBER(C281) = TRUE, C281*10^C284*1000/C285, "N/A")</f>
        <v>1320000000</v>
      </c>
      <c r="E281" s="12"/>
      <c r="F281" s="13" t="str">
        <f>IF(ISNUMBER(E281) = TRUE, E281*10^E284*1000/E285, "N/A")</f>
        <v>N/A</v>
      </c>
      <c r="G281" s="14"/>
    </row>
    <row r="282" spans="2:7" x14ac:dyDescent="0.45">
      <c r="B282" s="11" t="s">
        <v>15</v>
      </c>
      <c r="C282" s="12">
        <v>58</v>
      </c>
      <c r="D282" s="13">
        <f>IF(ISNUMBER(C282) = TRUE, C282*10^C284*1000/C285, "N/A")</f>
        <v>1160000000</v>
      </c>
      <c r="E282" s="12"/>
      <c r="F282" s="13" t="str">
        <f>IF(ISNUMBER(E282) = TRUE, E282*10^E284*1000/E285, "N/A")</f>
        <v>N/A</v>
      </c>
      <c r="G282" s="14"/>
    </row>
    <row r="283" spans="2:7" x14ac:dyDescent="0.45">
      <c r="B283" s="15" t="s">
        <v>16</v>
      </c>
      <c r="C283" s="16"/>
      <c r="D283" s="13" t="str">
        <f>IF(ISNUMBER(C283) = TRUE, C283*10^C284*1000/C285, "N/A")</f>
        <v>N/A</v>
      </c>
      <c r="E283" s="16"/>
      <c r="F283" s="13" t="str">
        <f>IF(ISNUMBER(E283) = TRUE, E283*10^E284*1000/E285, "N/A")</f>
        <v>N/A</v>
      </c>
      <c r="G283" s="17"/>
    </row>
    <row r="284" spans="2:7" x14ac:dyDescent="0.45">
      <c r="B284" s="18" t="s">
        <v>17</v>
      </c>
      <c r="C284" s="19">
        <v>5</v>
      </c>
      <c r="D284" s="20"/>
      <c r="E284" s="36"/>
      <c r="F284" s="20"/>
      <c r="G284" s="21" t="s">
        <v>18</v>
      </c>
    </row>
    <row r="285" spans="2:7" x14ac:dyDescent="0.45">
      <c r="B285" s="15" t="s">
        <v>19</v>
      </c>
      <c r="C285" s="22">
        <v>5</v>
      </c>
      <c r="D285" s="23"/>
      <c r="E285" s="37">
        <v>5</v>
      </c>
      <c r="F285" s="23"/>
      <c r="G285" s="14" t="e">
        <f>_xlfn.STDEV.P(G279:G283)</f>
        <v>#DIV/0!</v>
      </c>
    </row>
    <row r="286" spans="2:7" x14ac:dyDescent="0.45">
      <c r="B286" s="11" t="s">
        <v>20</v>
      </c>
      <c r="C286" s="12">
        <f>IF(ISBLANK(E279) = FALSE, (_xlfn.STDEV.P(D279:D283)^2+_xlfn.STDEV.P(F279:F283)^2)^(1/2), _xlfn.STDEV.P(D279:D283))</f>
        <v>130000000</v>
      </c>
      <c r="D286" s="24" t="s">
        <v>21</v>
      </c>
      <c r="E286" s="25">
        <f>E275+5+46/60</f>
        <v>23.066666666666666</v>
      </c>
      <c r="F286" s="26">
        <f>F275+5</f>
        <v>22.75</v>
      </c>
      <c r="G286" s="21" t="s">
        <v>22</v>
      </c>
    </row>
    <row r="287" spans="2:7" x14ac:dyDescent="0.45">
      <c r="B287" s="11" t="s">
        <v>23</v>
      </c>
      <c r="C287" s="12">
        <f>IF(ISBLANK(E279) = FALSE, (AVERAGE(D279:D283)+AVERAGE(F279:F283))/2, AVERAGE(D279:D283))</f>
        <v>1270000000</v>
      </c>
      <c r="D287" s="24" t="s">
        <v>24</v>
      </c>
      <c r="E287" s="38">
        <f>E276+5/24+46/60/24</f>
        <v>1.5736111111111117</v>
      </c>
      <c r="F287" s="13"/>
      <c r="G287" s="29" t="e">
        <f>AVERAGE(G279:G283)</f>
        <v>#DIV/0!</v>
      </c>
    </row>
    <row r="288" spans="2:7" ht="15.4" thickBot="1" x14ac:dyDescent="0.5">
      <c r="B288" s="30" t="s">
        <v>25</v>
      </c>
      <c r="C288" s="31">
        <f>IF(ISNUMBER(C276) = FALSE, C277, C277-0.1)</f>
        <v>3.5000000000000031</v>
      </c>
      <c r="D288" s="32" t="s">
        <v>26</v>
      </c>
      <c r="E288" s="39">
        <f>C287/C288</f>
        <v>362857142.85714251</v>
      </c>
      <c r="F288" s="40"/>
      <c r="G288" s="35"/>
    </row>
    <row r="289" spans="2:7" x14ac:dyDescent="0.45">
      <c r="B289" s="7">
        <v>27</v>
      </c>
      <c r="C289" s="8" t="s">
        <v>9</v>
      </c>
      <c r="D289" s="9" t="s">
        <v>10</v>
      </c>
      <c r="E289" s="8" t="s">
        <v>9</v>
      </c>
      <c r="F289" s="9" t="s">
        <v>10</v>
      </c>
      <c r="G289" s="10" t="s">
        <v>11</v>
      </c>
    </row>
    <row r="290" spans="2:7" x14ac:dyDescent="0.45">
      <c r="B290" s="11" t="s">
        <v>12</v>
      </c>
      <c r="C290" s="12">
        <v>82</v>
      </c>
      <c r="D290" s="13">
        <f>IF(ISNUMBER(C290) = TRUE, C290*10^C295*1000/C296, "N/A")</f>
        <v>1640000000</v>
      </c>
      <c r="E290" s="12"/>
      <c r="F290" s="13" t="str">
        <f>IF(ISNUMBER(E290) = TRUE, E290*10^E295*1000/E296, "N/A")</f>
        <v>N/A</v>
      </c>
      <c r="G290" s="14"/>
    </row>
    <row r="291" spans="2:7" x14ac:dyDescent="0.45">
      <c r="B291" s="11" t="s">
        <v>13</v>
      </c>
      <c r="C291" s="12">
        <v>61</v>
      </c>
      <c r="D291" s="13">
        <f>IF(ISNUMBER(C291) = TRUE, C291*10^C295*1000/C296, "N/A")</f>
        <v>1220000000</v>
      </c>
      <c r="E291" s="12"/>
      <c r="F291" s="13" t="str">
        <f>IF(ISNUMBER(E291) = TRUE, E291*10^E295*1000/E296, "N/A")</f>
        <v>N/A</v>
      </c>
      <c r="G291" s="14"/>
    </row>
    <row r="292" spans="2:7" x14ac:dyDescent="0.45">
      <c r="B292" s="11" t="s">
        <v>14</v>
      </c>
      <c r="C292" s="12">
        <v>64</v>
      </c>
      <c r="D292" s="13">
        <f>IF(ISNUMBER(C292) = TRUE, C292*10^C295*1000/C296, "N/A")</f>
        <v>1280000000</v>
      </c>
      <c r="E292" s="12"/>
      <c r="F292" s="13" t="str">
        <f>IF(ISNUMBER(E292) = TRUE, E292*10^E295*1000/E296, "N/A")</f>
        <v>N/A</v>
      </c>
      <c r="G292" s="14"/>
    </row>
    <row r="293" spans="2:7" x14ac:dyDescent="0.45">
      <c r="B293" s="11" t="s">
        <v>15</v>
      </c>
      <c r="C293" s="12">
        <v>60</v>
      </c>
      <c r="D293" s="13">
        <f>IF(ISNUMBER(C293) = TRUE, C293*10^C295*1000/C296, "N/A")</f>
        <v>1200000000</v>
      </c>
      <c r="E293" s="12"/>
      <c r="F293" s="13" t="str">
        <f>IF(ISNUMBER(E293) = TRUE, E293*10^E295*1000/E296, "N/A")</f>
        <v>N/A</v>
      </c>
      <c r="G293" s="14"/>
    </row>
    <row r="294" spans="2:7" x14ac:dyDescent="0.45">
      <c r="B294" s="15" t="s">
        <v>16</v>
      </c>
      <c r="C294" s="16"/>
      <c r="D294" s="13" t="str">
        <f>IF(ISNUMBER(C294) = TRUE, C294*10^C295*1000/C296, "N/A")</f>
        <v>N/A</v>
      </c>
      <c r="E294" s="16"/>
      <c r="F294" s="13" t="str">
        <f>IF(ISNUMBER(E294) = TRUE, E294*10^E295*1000/E296, "N/A")</f>
        <v>N/A</v>
      </c>
      <c r="G294" s="17"/>
    </row>
    <row r="295" spans="2:7" x14ac:dyDescent="0.45">
      <c r="B295" s="18" t="s">
        <v>17</v>
      </c>
      <c r="C295" s="19">
        <v>5</v>
      </c>
      <c r="D295" s="20"/>
      <c r="E295" s="36"/>
      <c r="F295" s="20"/>
      <c r="G295" s="21" t="s">
        <v>18</v>
      </c>
    </row>
    <row r="296" spans="2:7" x14ac:dyDescent="0.45">
      <c r="B296" s="15" t="s">
        <v>19</v>
      </c>
      <c r="C296" s="22">
        <v>5</v>
      </c>
      <c r="D296" s="23"/>
      <c r="E296" s="37">
        <v>5</v>
      </c>
      <c r="F296" s="23"/>
      <c r="G296" s="14" t="e">
        <f>_xlfn.STDEV.P(G290:G294)</f>
        <v>#DIV/0!</v>
      </c>
    </row>
    <row r="297" spans="2:7" x14ac:dyDescent="0.45">
      <c r="B297" s="11" t="s">
        <v>20</v>
      </c>
      <c r="C297" s="12">
        <f>IF(ISBLANK(E290) = FALSE, (_xlfn.STDEV.P(D290:D294)^2+_xlfn.STDEV.P(F290:F294)^2)^(1/2), _xlfn.STDEV.P(D290:D294))</f>
        <v>178535710.71357125</v>
      </c>
      <c r="D297" s="24" t="s">
        <v>21</v>
      </c>
      <c r="E297" s="25">
        <f>E286+1-16/60</f>
        <v>23.8</v>
      </c>
      <c r="F297" s="26">
        <f>F286+1</f>
        <v>23.75</v>
      </c>
      <c r="G297" s="21" t="s">
        <v>22</v>
      </c>
    </row>
    <row r="298" spans="2:7" x14ac:dyDescent="0.45">
      <c r="B298" s="11" t="s">
        <v>23</v>
      </c>
      <c r="C298" s="12">
        <f>IF(ISBLANK(E290) = FALSE, (AVERAGE(D290:D294)+AVERAGE(F290:F294))/2, AVERAGE(D290:D294))</f>
        <v>1335000000</v>
      </c>
      <c r="D298" s="24" t="s">
        <v>24</v>
      </c>
      <c r="E298" s="38">
        <f>E287+1/24 - 16/60/24</f>
        <v>1.6041666666666674</v>
      </c>
      <c r="F298" s="13"/>
      <c r="G298" s="29" t="e">
        <f>AVERAGE(G290:G294)</f>
        <v>#DIV/0!</v>
      </c>
    </row>
    <row r="299" spans="2:7" ht="15.4" thickBot="1" x14ac:dyDescent="0.5">
      <c r="B299" s="30" t="s">
        <v>25</v>
      </c>
      <c r="C299" s="31">
        <f>IF(ISNUMBER(C287) = FALSE, C288, C288-0.1)</f>
        <v>3.400000000000003</v>
      </c>
      <c r="D299" s="32" t="s">
        <v>26</v>
      </c>
      <c r="E299" s="39">
        <f>C298/C299</f>
        <v>392647058.82352906</v>
      </c>
      <c r="F299" s="40"/>
      <c r="G299" s="35"/>
    </row>
    <row r="300" spans="2:7" x14ac:dyDescent="0.45">
      <c r="B300" s="7">
        <v>28</v>
      </c>
      <c r="C300" s="8" t="s">
        <v>9</v>
      </c>
      <c r="D300" s="9" t="s">
        <v>10</v>
      </c>
      <c r="E300" s="8" t="s">
        <v>9</v>
      </c>
      <c r="F300" s="9" t="s">
        <v>10</v>
      </c>
      <c r="G300" s="10" t="s">
        <v>11</v>
      </c>
    </row>
    <row r="301" spans="2:7" x14ac:dyDescent="0.45">
      <c r="B301" s="11" t="s">
        <v>12</v>
      </c>
      <c r="C301" s="12">
        <v>63</v>
      </c>
      <c r="D301" s="13">
        <f>IF(ISNUMBER(C301) = TRUE, C301*10^C306*1000/C307, "N/A")</f>
        <v>1260000000</v>
      </c>
      <c r="E301" s="12"/>
      <c r="F301" s="13" t="str">
        <f>IF(ISNUMBER(E301) = TRUE, E301*10^E306*1000/E307, "N/A")</f>
        <v>N/A</v>
      </c>
      <c r="G301" s="14"/>
    </row>
    <row r="302" spans="2:7" x14ac:dyDescent="0.45">
      <c r="B302" s="11" t="s">
        <v>13</v>
      </c>
      <c r="C302" s="12">
        <v>74</v>
      </c>
      <c r="D302" s="13">
        <f>IF(ISNUMBER(C302) = TRUE, C302*10^C306*1000/C307, "N/A")</f>
        <v>1480000000</v>
      </c>
      <c r="E302" s="12"/>
      <c r="F302" s="13" t="str">
        <f>IF(ISNUMBER(E302) = TRUE, E302*10^E306*1000/E307, "N/A")</f>
        <v>N/A</v>
      </c>
      <c r="G302" s="14"/>
    </row>
    <row r="303" spans="2:7" x14ac:dyDescent="0.45">
      <c r="B303" s="11" t="s">
        <v>14</v>
      </c>
      <c r="C303" s="12">
        <v>73</v>
      </c>
      <c r="D303" s="13">
        <f>IF(ISNUMBER(C303) = TRUE, C303*10^C306*1000/C307, "N/A")</f>
        <v>1460000000</v>
      </c>
      <c r="E303" s="12"/>
      <c r="F303" s="13" t="str">
        <f>IF(ISNUMBER(E303) = TRUE, E303*10^E306*1000/E307, "N/A")</f>
        <v>N/A</v>
      </c>
      <c r="G303" s="14"/>
    </row>
    <row r="304" spans="2:7" x14ac:dyDescent="0.45">
      <c r="B304" s="11" t="s">
        <v>15</v>
      </c>
      <c r="C304" s="12">
        <v>65</v>
      </c>
      <c r="D304" s="13">
        <f>IF(ISNUMBER(C304) = TRUE, C304*10^C306*1000/C307, "N/A")</f>
        <v>1300000000</v>
      </c>
      <c r="E304" s="12"/>
      <c r="F304" s="13" t="str">
        <f>IF(ISNUMBER(E304) = TRUE, E304*10^E306*1000/E307, "N/A")</f>
        <v>N/A</v>
      </c>
      <c r="G304" s="14"/>
    </row>
    <row r="305" spans="2:7" x14ac:dyDescent="0.45">
      <c r="B305" s="15" t="s">
        <v>16</v>
      </c>
      <c r="C305" s="16"/>
      <c r="D305" s="13" t="str">
        <f>IF(ISNUMBER(C305) = TRUE, C305*10^C306*1000/C307, "N/A")</f>
        <v>N/A</v>
      </c>
      <c r="E305" s="16"/>
      <c r="F305" s="13" t="str">
        <f>IF(ISNUMBER(E305) = TRUE, E305*10^E306*1000/E307, "N/A")</f>
        <v>N/A</v>
      </c>
      <c r="G305" s="17"/>
    </row>
    <row r="306" spans="2:7" x14ac:dyDescent="0.45">
      <c r="B306" s="18" t="s">
        <v>17</v>
      </c>
      <c r="C306" s="19">
        <v>5</v>
      </c>
      <c r="D306" s="20"/>
      <c r="E306" s="36"/>
      <c r="F306" s="20"/>
      <c r="G306" s="21" t="s">
        <v>18</v>
      </c>
    </row>
    <row r="307" spans="2:7" x14ac:dyDescent="0.45">
      <c r="B307" s="15" t="s">
        <v>19</v>
      </c>
      <c r="C307" s="22">
        <v>5</v>
      </c>
      <c r="D307" s="23"/>
      <c r="E307" s="37">
        <v>5</v>
      </c>
      <c r="F307" s="23"/>
      <c r="G307" s="14" t="e">
        <f>_xlfn.STDEV.P(G301:G305)</f>
        <v>#DIV/0!</v>
      </c>
    </row>
    <row r="308" spans="2:7" x14ac:dyDescent="0.45">
      <c r="B308" s="11" t="s">
        <v>20</v>
      </c>
      <c r="C308" s="12">
        <f>IF(ISBLANK(E301) = FALSE, (_xlfn.STDEV.P(D301:D305)^2+_xlfn.STDEV.P(F301:F305)^2)^(1/2), _xlfn.STDEV.P(D301:D305))</f>
        <v>96306801.421291113</v>
      </c>
      <c r="D308" s="24" t="s">
        <v>21</v>
      </c>
      <c r="E308" s="25">
        <f>E297+1</f>
        <v>24.8</v>
      </c>
      <c r="F308" s="26">
        <f>F297+1</f>
        <v>24.75</v>
      </c>
      <c r="G308" s="21" t="s">
        <v>22</v>
      </c>
    </row>
    <row r="309" spans="2:7" x14ac:dyDescent="0.45">
      <c r="B309" s="11" t="s">
        <v>23</v>
      </c>
      <c r="C309" s="12">
        <f>IF(ISBLANK(E301) = FALSE, (AVERAGE(D301:D305)+AVERAGE(F301:F305))/2, AVERAGE(D301:D305))</f>
        <v>1375000000</v>
      </c>
      <c r="D309" s="24" t="s">
        <v>24</v>
      </c>
      <c r="E309" s="38">
        <f>E298+1/24</f>
        <v>1.6458333333333341</v>
      </c>
      <c r="F309" s="13"/>
      <c r="G309" s="29" t="e">
        <f>AVERAGE(G301:G305)</f>
        <v>#DIV/0!</v>
      </c>
    </row>
    <row r="310" spans="2:7" ht="15.4" thickBot="1" x14ac:dyDescent="0.5">
      <c r="B310" s="30" t="s">
        <v>25</v>
      </c>
      <c r="C310" s="31">
        <f>IF(ISNUMBER(C298) = FALSE, C299, C299-0.1)</f>
        <v>3.3000000000000029</v>
      </c>
      <c r="D310" s="32" t="s">
        <v>26</v>
      </c>
      <c r="E310" s="39">
        <f>C309/C310</f>
        <v>416666666.66666627</v>
      </c>
      <c r="F310" s="40"/>
      <c r="G310" s="35"/>
    </row>
    <row r="311" spans="2:7" x14ac:dyDescent="0.45">
      <c r="B311" s="7">
        <v>29</v>
      </c>
      <c r="C311" s="8" t="s">
        <v>9</v>
      </c>
      <c r="D311" s="9" t="s">
        <v>10</v>
      </c>
      <c r="E311" s="8" t="s">
        <v>9</v>
      </c>
      <c r="F311" s="9" t="s">
        <v>10</v>
      </c>
      <c r="G311" s="10" t="s">
        <v>11</v>
      </c>
    </row>
    <row r="312" spans="2:7" x14ac:dyDescent="0.45">
      <c r="B312" s="11" t="s">
        <v>12</v>
      </c>
      <c r="C312" s="12">
        <v>63</v>
      </c>
      <c r="D312" s="13">
        <f>IF(ISNUMBER(C312) = TRUE, C312*10^C317*1000/C318, "N/A")</f>
        <v>1260000000</v>
      </c>
      <c r="E312" s="12"/>
      <c r="F312" s="13" t="str">
        <f>IF(ISNUMBER(E312) = TRUE, E312*10^E317*1000/E318, "N/A")</f>
        <v>N/A</v>
      </c>
      <c r="G312" s="14"/>
    </row>
    <row r="313" spans="2:7" x14ac:dyDescent="0.45">
      <c r="B313" s="11" t="s">
        <v>13</v>
      </c>
      <c r="C313" s="12">
        <v>74</v>
      </c>
      <c r="D313" s="13">
        <f>IF(ISNUMBER(C313) = TRUE, C313*10^C317*1000/C318, "N/A")</f>
        <v>1480000000</v>
      </c>
      <c r="E313" s="12"/>
      <c r="F313" s="13" t="str">
        <f>IF(ISNUMBER(E313) = TRUE, E313*10^E317*1000/E318, "N/A")</f>
        <v>N/A</v>
      </c>
      <c r="G313" s="14"/>
    </row>
    <row r="314" spans="2:7" x14ac:dyDescent="0.45">
      <c r="B314" s="11" t="s">
        <v>14</v>
      </c>
      <c r="C314" s="12">
        <v>73</v>
      </c>
      <c r="D314" s="13">
        <f>IF(ISNUMBER(C314) = TRUE, C314*10^C317*1000/C318, "N/A")</f>
        <v>1460000000</v>
      </c>
      <c r="E314" s="12"/>
      <c r="F314" s="13" t="str">
        <f>IF(ISNUMBER(E314) = TRUE, E314*10^E317*1000/E318, "N/A")</f>
        <v>N/A</v>
      </c>
      <c r="G314" s="14"/>
    </row>
    <row r="315" spans="2:7" x14ac:dyDescent="0.45">
      <c r="B315" s="11" t="s">
        <v>15</v>
      </c>
      <c r="C315" s="12">
        <v>65</v>
      </c>
      <c r="D315" s="13">
        <f>IF(ISNUMBER(C315) = TRUE, C315*10^C317*1000/C318, "N/A")</f>
        <v>1300000000</v>
      </c>
      <c r="E315" s="12"/>
      <c r="F315" s="13" t="str">
        <f>IF(ISNUMBER(E315) = TRUE, E315*10^E317*1000/E318, "N/A")</f>
        <v>N/A</v>
      </c>
      <c r="G315" s="14"/>
    </row>
    <row r="316" spans="2:7" x14ac:dyDescent="0.45">
      <c r="B316" s="15" t="s">
        <v>16</v>
      </c>
      <c r="C316" s="16"/>
      <c r="D316" s="13" t="str">
        <f>IF(ISNUMBER(C316) = TRUE, C316*10^C317*1000/C318, "N/A")</f>
        <v>N/A</v>
      </c>
      <c r="E316" s="16"/>
      <c r="F316" s="13" t="str">
        <f>IF(ISNUMBER(E316) = TRUE, E316*10^E317*1000/E318, "N/A")</f>
        <v>N/A</v>
      </c>
      <c r="G316" s="17"/>
    </row>
    <row r="317" spans="2:7" x14ac:dyDescent="0.45">
      <c r="B317" s="18" t="s">
        <v>17</v>
      </c>
      <c r="C317" s="19">
        <v>5</v>
      </c>
      <c r="D317" s="20"/>
      <c r="E317" s="36"/>
      <c r="F317" s="20"/>
      <c r="G317" s="21" t="s">
        <v>18</v>
      </c>
    </row>
    <row r="318" spans="2:7" x14ac:dyDescent="0.45">
      <c r="B318" s="15" t="s">
        <v>19</v>
      </c>
      <c r="C318" s="22">
        <v>5</v>
      </c>
      <c r="D318" s="23"/>
      <c r="E318" s="37">
        <v>5</v>
      </c>
      <c r="F318" s="23"/>
      <c r="G318" s="14" t="e">
        <f>_xlfn.STDEV.P(G312:G316)</f>
        <v>#DIV/0!</v>
      </c>
    </row>
    <row r="319" spans="2:7" x14ac:dyDescent="0.45">
      <c r="B319" s="11" t="s">
        <v>20</v>
      </c>
      <c r="C319" s="12">
        <f>IF(ISBLANK(E312) = FALSE, (_xlfn.STDEV.P(D312:D316)^2+_xlfn.STDEV.P(F312:F316)^2)^(1/2), _xlfn.STDEV.P(D312:D316))</f>
        <v>96306801.421291113</v>
      </c>
      <c r="D319" s="24" t="s">
        <v>21</v>
      </c>
      <c r="E319" s="25">
        <f>E308+2.5</f>
        <v>27.3</v>
      </c>
      <c r="F319" s="26">
        <f>F308+2.5</f>
        <v>27.25</v>
      </c>
      <c r="G319" s="21" t="s">
        <v>22</v>
      </c>
    </row>
    <row r="320" spans="2:7" x14ac:dyDescent="0.45">
      <c r="B320" s="11" t="s">
        <v>23</v>
      </c>
      <c r="C320" s="12">
        <f>IF(ISBLANK(E312) = FALSE, (AVERAGE(D312:D316)+AVERAGE(F312:F316))/2, AVERAGE(D312:D316))</f>
        <v>1375000000</v>
      </c>
      <c r="D320" s="24" t="s">
        <v>24</v>
      </c>
      <c r="E320" s="38">
        <f>E309+2.5/24</f>
        <v>1.7500000000000009</v>
      </c>
      <c r="F320" s="13"/>
      <c r="G320" s="29" t="e">
        <f>AVERAGE(G312:G316)</f>
        <v>#DIV/0!</v>
      </c>
    </row>
    <row r="321" spans="2:7" ht="15.4" thickBot="1" x14ac:dyDescent="0.5">
      <c r="B321" s="30" t="s">
        <v>25</v>
      </c>
      <c r="C321" s="31">
        <f>IF(ISNUMBER(C309) = FALSE, C310, C310-0.1)</f>
        <v>3.2000000000000028</v>
      </c>
      <c r="D321" s="32" t="s">
        <v>26</v>
      </c>
      <c r="E321" s="39">
        <f>C320/C321</f>
        <v>429687499.99999964</v>
      </c>
      <c r="F321" s="40"/>
      <c r="G321" s="35"/>
    </row>
    <row r="322" spans="2:7" x14ac:dyDescent="0.45">
      <c r="B322" s="7">
        <v>30</v>
      </c>
      <c r="C322" s="8" t="s">
        <v>9</v>
      </c>
      <c r="D322" s="9" t="s">
        <v>10</v>
      </c>
      <c r="E322" s="8" t="s">
        <v>9</v>
      </c>
      <c r="F322" s="9" t="s">
        <v>10</v>
      </c>
      <c r="G322" s="10" t="s">
        <v>11</v>
      </c>
    </row>
    <row r="323" spans="2:7" x14ac:dyDescent="0.45">
      <c r="B323" s="11" t="s">
        <v>12</v>
      </c>
      <c r="C323" s="12">
        <v>67</v>
      </c>
      <c r="D323" s="13">
        <f t="shared" ref="D323" si="5">IF(ISNUMBER(C323) = TRUE, C323*10^C328*1000/C329, "N/A")</f>
        <v>1340000000</v>
      </c>
      <c r="E323" s="12"/>
      <c r="F323" s="13" t="str">
        <f t="shared" ref="F323" si="6">IF(ISNUMBER(E323) = TRUE, E323*10^E328*1000/E329, "N/A")</f>
        <v>N/A</v>
      </c>
      <c r="G323" s="14"/>
    </row>
    <row r="324" spans="2:7" x14ac:dyDescent="0.45">
      <c r="B324" s="11" t="s">
        <v>13</v>
      </c>
      <c r="C324" s="12">
        <v>79</v>
      </c>
      <c r="D324" s="13">
        <f t="shared" ref="D324" si="7">IF(ISNUMBER(C324) = TRUE, C324*10^C328*1000/C329, "N/A")</f>
        <v>1580000000</v>
      </c>
      <c r="E324" s="12"/>
      <c r="F324" s="13" t="str">
        <f>IF(ISNUMBER(E324) = TRUE, E324*10^E328*1000/E329, "N/A")</f>
        <v>N/A</v>
      </c>
      <c r="G324" s="14"/>
    </row>
    <row r="325" spans="2:7" x14ac:dyDescent="0.45">
      <c r="B325" s="11" t="s">
        <v>14</v>
      </c>
      <c r="C325" s="12">
        <v>67</v>
      </c>
      <c r="D325" s="13">
        <f t="shared" ref="D325" si="8">IF(ISNUMBER(C325) = TRUE, C325*10^C328*1000/C329, "N/A")</f>
        <v>1340000000</v>
      </c>
      <c r="E325" s="12"/>
      <c r="F325" s="13" t="str">
        <f t="shared" ref="F325" si="9">IF(ISNUMBER(E325) = TRUE, E325*10^E328*1000/E329, "N/A")</f>
        <v>N/A</v>
      </c>
      <c r="G325" s="14"/>
    </row>
    <row r="326" spans="2:7" x14ac:dyDescent="0.45">
      <c r="B326" s="11" t="s">
        <v>15</v>
      </c>
      <c r="C326" s="12">
        <v>66</v>
      </c>
      <c r="D326" s="13">
        <f t="shared" ref="D326" si="10">IF(ISNUMBER(C326) = TRUE, C326*10^C328*1000/C329, "N/A")</f>
        <v>1320000000</v>
      </c>
      <c r="E326" s="12"/>
      <c r="F326" s="13" t="str">
        <f t="shared" ref="F326" si="11">IF(ISNUMBER(E326) = TRUE, E326*10^E328*1000/E329, "N/A")</f>
        <v>N/A</v>
      </c>
      <c r="G326" s="14"/>
    </row>
    <row r="327" spans="2:7" x14ac:dyDescent="0.45">
      <c r="B327" s="15" t="s">
        <v>16</v>
      </c>
      <c r="C327" s="16">
        <v>78</v>
      </c>
      <c r="D327" s="13">
        <f t="shared" ref="D327" si="12">IF(ISNUMBER(C327) = TRUE, C327*10^C328*1000/C329, "N/A")</f>
        <v>1560000000</v>
      </c>
      <c r="E327" s="16"/>
      <c r="F327" s="13" t="str">
        <f t="shared" ref="F327" si="13">IF(ISNUMBER(E327) = TRUE, E327*10^E328*1000/E329, "N/A")</f>
        <v>N/A</v>
      </c>
      <c r="G327" s="17"/>
    </row>
    <row r="328" spans="2:7" x14ac:dyDescent="0.45">
      <c r="B328" s="18" t="s">
        <v>17</v>
      </c>
      <c r="C328" s="19">
        <v>5</v>
      </c>
      <c r="D328" s="20"/>
      <c r="E328" s="36"/>
      <c r="F328" s="20"/>
      <c r="G328" s="21" t="s">
        <v>18</v>
      </c>
    </row>
    <row r="329" spans="2:7" x14ac:dyDescent="0.45">
      <c r="B329" s="15" t="s">
        <v>19</v>
      </c>
      <c r="C329" s="22">
        <v>5</v>
      </c>
      <c r="D329" s="23"/>
      <c r="E329" s="37">
        <v>5</v>
      </c>
      <c r="F329" s="23"/>
      <c r="G329" s="14" t="e">
        <f>_xlfn.STDEV.P(G323:G327)</f>
        <v>#DIV/0!</v>
      </c>
    </row>
    <row r="330" spans="2:7" x14ac:dyDescent="0.45">
      <c r="B330" s="11" t="s">
        <v>20</v>
      </c>
      <c r="C330" s="12">
        <f>IF(ISBLANK(E323) = FALSE, (_xlfn.STDEV.P(D323:D327)^2+_xlfn.STDEV.P(F323:F327)^2)^(1/2), _xlfn.STDEV.P(D323:D327))</f>
        <v>116344316.5779919</v>
      </c>
      <c r="D330" s="24" t="s">
        <v>21</v>
      </c>
      <c r="E330" s="25">
        <f>E319+2.5</f>
        <v>29.8</v>
      </c>
      <c r="F330" s="26">
        <f>F319+2.5</f>
        <v>29.75</v>
      </c>
      <c r="G330" s="21" t="s">
        <v>22</v>
      </c>
    </row>
    <row r="331" spans="2:7" x14ac:dyDescent="0.45">
      <c r="B331" s="11" t="s">
        <v>23</v>
      </c>
      <c r="C331" s="12">
        <f>IF(ISBLANK(E323) = FALSE, (AVERAGE(D323:D327)+AVERAGE(F323:F327))/2, AVERAGE(D323:D327))</f>
        <v>1428000000</v>
      </c>
      <c r="D331" s="24" t="s">
        <v>24</v>
      </c>
      <c r="E331" s="38">
        <f>E320+2.5/24</f>
        <v>1.8541666666666676</v>
      </c>
      <c r="F331" s="13"/>
      <c r="G331" s="29" t="e">
        <f>AVERAGE(G323:G327)</f>
        <v>#DIV/0!</v>
      </c>
    </row>
    <row r="332" spans="2:7" ht="15.4" thickBot="1" x14ac:dyDescent="0.5">
      <c r="B332" s="30" t="s">
        <v>25</v>
      </c>
      <c r="C332" s="31">
        <f>IF(ISNUMBER(C320) = FALSE, C321, C321-0.1)</f>
        <v>3.1000000000000028</v>
      </c>
      <c r="D332" s="32" t="s">
        <v>26</v>
      </c>
      <c r="E332" s="39">
        <f t="shared" ref="E332" si="14">C331/C332</f>
        <v>460645161.29032218</v>
      </c>
      <c r="F332" s="40"/>
      <c r="G332" s="35"/>
    </row>
  </sheetData>
  <mergeCells count="162">
    <mergeCell ref="G331:G332"/>
    <mergeCell ref="C318:D318"/>
    <mergeCell ref="E318:F318"/>
    <mergeCell ref="G320:G321"/>
    <mergeCell ref="C328:D328"/>
    <mergeCell ref="E328:F328"/>
    <mergeCell ref="C329:D329"/>
    <mergeCell ref="E329:F329"/>
    <mergeCell ref="C306:D306"/>
    <mergeCell ref="E306:F306"/>
    <mergeCell ref="C307:D307"/>
    <mergeCell ref="E307:F307"/>
    <mergeCell ref="G309:G310"/>
    <mergeCell ref="C317:D317"/>
    <mergeCell ref="E317:F317"/>
    <mergeCell ref="G287:G288"/>
    <mergeCell ref="C295:D295"/>
    <mergeCell ref="E295:F295"/>
    <mergeCell ref="C296:D296"/>
    <mergeCell ref="E296:F296"/>
    <mergeCell ref="G298:G299"/>
    <mergeCell ref="C274:D274"/>
    <mergeCell ref="E274:F274"/>
    <mergeCell ref="G276:G277"/>
    <mergeCell ref="C284:D284"/>
    <mergeCell ref="E284:F284"/>
    <mergeCell ref="C285:D285"/>
    <mergeCell ref="E285:F285"/>
    <mergeCell ref="C262:D262"/>
    <mergeCell ref="E262:F262"/>
    <mergeCell ref="C263:D263"/>
    <mergeCell ref="E263:F263"/>
    <mergeCell ref="G265:G266"/>
    <mergeCell ref="C273:D273"/>
    <mergeCell ref="E273:F273"/>
    <mergeCell ref="G243:G244"/>
    <mergeCell ref="C251:D251"/>
    <mergeCell ref="E251:F251"/>
    <mergeCell ref="C252:D252"/>
    <mergeCell ref="E252:F252"/>
    <mergeCell ref="G254:G255"/>
    <mergeCell ref="C230:D230"/>
    <mergeCell ref="E230:F230"/>
    <mergeCell ref="G232:G233"/>
    <mergeCell ref="C240:D240"/>
    <mergeCell ref="E240:F240"/>
    <mergeCell ref="C241:D241"/>
    <mergeCell ref="E241:F241"/>
    <mergeCell ref="C218:D218"/>
    <mergeCell ref="E218:F218"/>
    <mergeCell ref="C219:D219"/>
    <mergeCell ref="E219:F219"/>
    <mergeCell ref="G221:G222"/>
    <mergeCell ref="C229:D229"/>
    <mergeCell ref="E229:F229"/>
    <mergeCell ref="G199:G200"/>
    <mergeCell ref="C207:D207"/>
    <mergeCell ref="E207:F207"/>
    <mergeCell ref="C208:D208"/>
    <mergeCell ref="E208:F208"/>
    <mergeCell ref="G210:G211"/>
    <mergeCell ref="C186:D186"/>
    <mergeCell ref="E186:F186"/>
    <mergeCell ref="G188:G189"/>
    <mergeCell ref="C196:D196"/>
    <mergeCell ref="E196:F196"/>
    <mergeCell ref="C197:D197"/>
    <mergeCell ref="E197:F197"/>
    <mergeCell ref="C174:D174"/>
    <mergeCell ref="E174:F174"/>
    <mergeCell ref="C175:D175"/>
    <mergeCell ref="E175:F175"/>
    <mergeCell ref="G177:G178"/>
    <mergeCell ref="C185:D185"/>
    <mergeCell ref="E185:F185"/>
    <mergeCell ref="G155:G156"/>
    <mergeCell ref="C163:D163"/>
    <mergeCell ref="E163:F163"/>
    <mergeCell ref="C164:D164"/>
    <mergeCell ref="E164:F164"/>
    <mergeCell ref="G166:G167"/>
    <mergeCell ref="C142:D142"/>
    <mergeCell ref="E142:F142"/>
    <mergeCell ref="G144:G145"/>
    <mergeCell ref="C152:D152"/>
    <mergeCell ref="E152:F152"/>
    <mergeCell ref="C153:D153"/>
    <mergeCell ref="E153:F153"/>
    <mergeCell ref="C130:D130"/>
    <mergeCell ref="E130:F130"/>
    <mergeCell ref="C131:D131"/>
    <mergeCell ref="E131:F131"/>
    <mergeCell ref="G133:G134"/>
    <mergeCell ref="C141:D141"/>
    <mergeCell ref="E141:F141"/>
    <mergeCell ref="G111:G112"/>
    <mergeCell ref="C119:D119"/>
    <mergeCell ref="E119:F119"/>
    <mergeCell ref="C120:D120"/>
    <mergeCell ref="E120:F120"/>
    <mergeCell ref="G122:G123"/>
    <mergeCell ref="C98:D98"/>
    <mergeCell ref="E98:F98"/>
    <mergeCell ref="G100:G101"/>
    <mergeCell ref="C108:D108"/>
    <mergeCell ref="E108:F108"/>
    <mergeCell ref="C109:D109"/>
    <mergeCell ref="E109:F109"/>
    <mergeCell ref="C86:D86"/>
    <mergeCell ref="E86:F86"/>
    <mergeCell ref="C87:D87"/>
    <mergeCell ref="E87:F87"/>
    <mergeCell ref="G89:G90"/>
    <mergeCell ref="C97:D97"/>
    <mergeCell ref="E97:F97"/>
    <mergeCell ref="G67:G68"/>
    <mergeCell ref="C75:D75"/>
    <mergeCell ref="E75:F75"/>
    <mergeCell ref="C76:D76"/>
    <mergeCell ref="E76:F76"/>
    <mergeCell ref="G78:G79"/>
    <mergeCell ref="E56:F56"/>
    <mergeCell ref="G56:G57"/>
    <mergeCell ref="E57:F57"/>
    <mergeCell ref="C64:D64"/>
    <mergeCell ref="E64:F64"/>
    <mergeCell ref="C65:D65"/>
    <mergeCell ref="E65:F65"/>
    <mergeCell ref="E45:F45"/>
    <mergeCell ref="G45:G46"/>
    <mergeCell ref="E46:F46"/>
    <mergeCell ref="C53:D53"/>
    <mergeCell ref="E53:F53"/>
    <mergeCell ref="C54:D54"/>
    <mergeCell ref="E54:F54"/>
    <mergeCell ref="E34:F34"/>
    <mergeCell ref="G34:G35"/>
    <mergeCell ref="E35:F35"/>
    <mergeCell ref="C42:D42"/>
    <mergeCell ref="E42:F42"/>
    <mergeCell ref="C43:D43"/>
    <mergeCell ref="E43:F43"/>
    <mergeCell ref="E23:F23"/>
    <mergeCell ref="G23:G24"/>
    <mergeCell ref="E24:F24"/>
    <mergeCell ref="C31:D31"/>
    <mergeCell ref="E31:F31"/>
    <mergeCell ref="C32:D32"/>
    <mergeCell ref="E32:F32"/>
    <mergeCell ref="E12:F12"/>
    <mergeCell ref="G12:G13"/>
    <mergeCell ref="E13:F13"/>
    <mergeCell ref="C20:D20"/>
    <mergeCell ref="E20:F20"/>
    <mergeCell ref="C21:D21"/>
    <mergeCell ref="E21:F21"/>
    <mergeCell ref="B2:D2"/>
    <mergeCell ref="F2:G2"/>
    <mergeCell ref="C9:D9"/>
    <mergeCell ref="E9:F9"/>
    <mergeCell ref="C10:D10"/>
    <mergeCell ref="E10:F10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黃品喆</dc:creator>
  <cp:lastModifiedBy>黃品喆</cp:lastModifiedBy>
  <dcterms:created xsi:type="dcterms:W3CDTF">2015-06-05T18:19:34Z</dcterms:created>
  <dcterms:modified xsi:type="dcterms:W3CDTF">2026-08-01T08:48:16Z</dcterms:modified>
</cp:coreProperties>
</file>