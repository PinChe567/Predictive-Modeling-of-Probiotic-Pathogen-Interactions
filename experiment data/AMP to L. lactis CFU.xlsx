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user\Desktop\大學的東西\iGEM\9th\數據\experiment data\"/>
    </mc:Choice>
  </mc:AlternateContent>
  <xr:revisionPtr revIDLastSave="0" documentId="13_ncr:1_{B117C831-6C5E-4988-9325-DD276237E45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ata" sheetId="1" r:id="rId1"/>
    <sheet name="raw data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4" i="2" l="1"/>
  <c r="K144" i="2"/>
  <c r="E144" i="2"/>
  <c r="I143" i="2"/>
  <c r="R140" i="2"/>
  <c r="P140" i="2"/>
  <c r="L140" i="2"/>
  <c r="J140" i="2"/>
  <c r="F140" i="2"/>
  <c r="D140" i="2"/>
  <c r="R139" i="2"/>
  <c r="P139" i="2"/>
  <c r="L139" i="2"/>
  <c r="J139" i="2"/>
  <c r="F139" i="2"/>
  <c r="D139" i="2"/>
  <c r="R138" i="2"/>
  <c r="P138" i="2"/>
  <c r="O144" i="2" s="1"/>
  <c r="L138" i="2"/>
  <c r="J138" i="2"/>
  <c r="I144" i="2" s="1"/>
  <c r="F138" i="2"/>
  <c r="C143" i="2" s="1"/>
  <c r="D138" i="2"/>
  <c r="R137" i="2"/>
  <c r="P137" i="2"/>
  <c r="L137" i="2"/>
  <c r="J137" i="2"/>
  <c r="F137" i="2"/>
  <c r="D137" i="2"/>
  <c r="R136" i="2"/>
  <c r="P136" i="2"/>
  <c r="L136" i="2"/>
  <c r="J136" i="2"/>
  <c r="F136" i="2"/>
  <c r="D136" i="2"/>
  <c r="C144" i="2" s="1"/>
  <c r="Q133" i="2"/>
  <c r="K133" i="2"/>
  <c r="E133" i="2"/>
  <c r="R129" i="2"/>
  <c r="P129" i="2"/>
  <c r="L129" i="2"/>
  <c r="J129" i="2"/>
  <c r="F129" i="2"/>
  <c r="D129" i="2"/>
  <c r="R128" i="2"/>
  <c r="P128" i="2"/>
  <c r="L128" i="2"/>
  <c r="J128" i="2"/>
  <c r="F128" i="2"/>
  <c r="D128" i="2"/>
  <c r="R127" i="2"/>
  <c r="P127" i="2"/>
  <c r="L127" i="2"/>
  <c r="J127" i="2"/>
  <c r="F127" i="2"/>
  <c r="D127" i="2"/>
  <c r="R126" i="2"/>
  <c r="P126" i="2"/>
  <c r="O133" i="2" s="1"/>
  <c r="L126" i="2"/>
  <c r="J126" i="2"/>
  <c r="F126" i="2"/>
  <c r="D126" i="2"/>
  <c r="R125" i="2"/>
  <c r="P125" i="2"/>
  <c r="L125" i="2"/>
  <c r="J125" i="2"/>
  <c r="I133" i="2" s="1"/>
  <c r="F125" i="2"/>
  <c r="D125" i="2"/>
  <c r="C133" i="2" s="1"/>
  <c r="Q122" i="2"/>
  <c r="K122" i="2"/>
  <c r="E122" i="2"/>
  <c r="R118" i="2"/>
  <c r="P118" i="2"/>
  <c r="L118" i="2"/>
  <c r="J118" i="2"/>
  <c r="F118" i="2"/>
  <c r="D118" i="2"/>
  <c r="R117" i="2"/>
  <c r="P117" i="2"/>
  <c r="L117" i="2"/>
  <c r="J117" i="2"/>
  <c r="F117" i="2"/>
  <c r="D117" i="2"/>
  <c r="R116" i="2"/>
  <c r="P116" i="2"/>
  <c r="L116" i="2"/>
  <c r="J116" i="2"/>
  <c r="F116" i="2"/>
  <c r="D116" i="2"/>
  <c r="R115" i="2"/>
  <c r="P115" i="2"/>
  <c r="O121" i="2" s="1"/>
  <c r="L115" i="2"/>
  <c r="J115" i="2"/>
  <c r="I121" i="2" s="1"/>
  <c r="F115" i="2"/>
  <c r="D115" i="2"/>
  <c r="R114" i="2"/>
  <c r="P114" i="2"/>
  <c r="O122" i="2" s="1"/>
  <c r="L114" i="2"/>
  <c r="J114" i="2"/>
  <c r="I122" i="2" s="1"/>
  <c r="F114" i="2"/>
  <c r="D114" i="2"/>
  <c r="C122" i="2" s="1"/>
  <c r="Q111" i="2"/>
  <c r="K111" i="2"/>
  <c r="E111" i="2"/>
  <c r="R107" i="2"/>
  <c r="P107" i="2"/>
  <c r="L107" i="2"/>
  <c r="J107" i="2"/>
  <c r="F107" i="2"/>
  <c r="D107" i="2"/>
  <c r="R106" i="2"/>
  <c r="P106" i="2"/>
  <c r="L106" i="2"/>
  <c r="J106" i="2"/>
  <c r="F106" i="2"/>
  <c r="D106" i="2"/>
  <c r="R105" i="2"/>
  <c r="P105" i="2"/>
  <c r="L105" i="2"/>
  <c r="J105" i="2"/>
  <c r="F105" i="2"/>
  <c r="D105" i="2"/>
  <c r="R104" i="2"/>
  <c r="P104" i="2"/>
  <c r="L104" i="2"/>
  <c r="J104" i="2"/>
  <c r="I110" i="2" s="1"/>
  <c r="F104" i="2"/>
  <c r="D104" i="2"/>
  <c r="R103" i="2"/>
  <c r="P103" i="2"/>
  <c r="O110" i="2" s="1"/>
  <c r="L103" i="2"/>
  <c r="J103" i="2"/>
  <c r="I111" i="2" s="1"/>
  <c r="F103" i="2"/>
  <c r="D103" i="2"/>
  <c r="C111" i="2" s="1"/>
  <c r="Q100" i="2"/>
  <c r="K100" i="2"/>
  <c r="I100" i="2"/>
  <c r="E100" i="2"/>
  <c r="C100" i="2"/>
  <c r="R96" i="2"/>
  <c r="P96" i="2"/>
  <c r="L96" i="2"/>
  <c r="J96" i="2"/>
  <c r="F96" i="2"/>
  <c r="D96" i="2"/>
  <c r="R95" i="2"/>
  <c r="P95" i="2"/>
  <c r="L95" i="2"/>
  <c r="J95" i="2"/>
  <c r="F95" i="2"/>
  <c r="D95" i="2"/>
  <c r="R94" i="2"/>
  <c r="P94" i="2"/>
  <c r="L94" i="2"/>
  <c r="J94" i="2"/>
  <c r="F94" i="2"/>
  <c r="D94" i="2"/>
  <c r="R93" i="2"/>
  <c r="P93" i="2"/>
  <c r="L93" i="2"/>
  <c r="J93" i="2"/>
  <c r="F93" i="2"/>
  <c r="D93" i="2"/>
  <c r="R92" i="2"/>
  <c r="P92" i="2"/>
  <c r="O99" i="2" s="1"/>
  <c r="L92" i="2"/>
  <c r="J92" i="2"/>
  <c r="I99" i="2" s="1"/>
  <c r="F92" i="2"/>
  <c r="D92" i="2"/>
  <c r="C99" i="2" s="1"/>
  <c r="Q89" i="2"/>
  <c r="K89" i="2"/>
  <c r="E89" i="2"/>
  <c r="O88" i="2"/>
  <c r="C88" i="2"/>
  <c r="R85" i="2"/>
  <c r="P85" i="2"/>
  <c r="L85" i="2"/>
  <c r="J85" i="2"/>
  <c r="F85" i="2"/>
  <c r="D85" i="2"/>
  <c r="R84" i="2"/>
  <c r="P84" i="2"/>
  <c r="L84" i="2"/>
  <c r="J84" i="2"/>
  <c r="F84" i="2"/>
  <c r="D84" i="2"/>
  <c r="R83" i="2"/>
  <c r="P83" i="2"/>
  <c r="L83" i="2"/>
  <c r="J83" i="2"/>
  <c r="I88" i="2" s="1"/>
  <c r="F83" i="2"/>
  <c r="D83" i="2"/>
  <c r="R82" i="2"/>
  <c r="P82" i="2"/>
  <c r="L82" i="2"/>
  <c r="J82" i="2"/>
  <c r="F82" i="2"/>
  <c r="D82" i="2"/>
  <c r="R81" i="2"/>
  <c r="P81" i="2"/>
  <c r="O89" i="2" s="1"/>
  <c r="L81" i="2"/>
  <c r="J81" i="2"/>
  <c r="I89" i="2" s="1"/>
  <c r="F81" i="2"/>
  <c r="D81" i="2"/>
  <c r="C89" i="2" s="1"/>
  <c r="Q78" i="2"/>
  <c r="K78" i="2"/>
  <c r="E78" i="2"/>
  <c r="R74" i="2"/>
  <c r="P74" i="2"/>
  <c r="L74" i="2"/>
  <c r="J74" i="2"/>
  <c r="F74" i="2"/>
  <c r="D74" i="2"/>
  <c r="R73" i="2"/>
  <c r="P73" i="2"/>
  <c r="L73" i="2"/>
  <c r="J73" i="2"/>
  <c r="F73" i="2"/>
  <c r="D73" i="2"/>
  <c r="R72" i="2"/>
  <c r="P72" i="2"/>
  <c r="O77" i="2" s="1"/>
  <c r="L72" i="2"/>
  <c r="J72" i="2"/>
  <c r="I78" i="2" s="1"/>
  <c r="F72" i="2"/>
  <c r="D72" i="2"/>
  <c r="C78" i="2" s="1"/>
  <c r="R71" i="2"/>
  <c r="P71" i="2"/>
  <c r="L71" i="2"/>
  <c r="J71" i="2"/>
  <c r="F71" i="2"/>
  <c r="D71" i="2"/>
  <c r="R70" i="2"/>
  <c r="P70" i="2"/>
  <c r="O78" i="2" s="1"/>
  <c r="L70" i="2"/>
  <c r="J70" i="2"/>
  <c r="F70" i="2"/>
  <c r="D70" i="2"/>
  <c r="Q67" i="2"/>
  <c r="K67" i="2"/>
  <c r="E67" i="2"/>
  <c r="R63" i="2"/>
  <c r="P63" i="2"/>
  <c r="L63" i="2"/>
  <c r="J63" i="2"/>
  <c r="F63" i="2"/>
  <c r="D63" i="2"/>
  <c r="R62" i="2"/>
  <c r="P62" i="2"/>
  <c r="L62" i="2"/>
  <c r="J62" i="2"/>
  <c r="F62" i="2"/>
  <c r="D62" i="2"/>
  <c r="R61" i="2"/>
  <c r="P61" i="2"/>
  <c r="L61" i="2"/>
  <c r="J61" i="2"/>
  <c r="F61" i="2"/>
  <c r="D61" i="2"/>
  <c r="R60" i="2"/>
  <c r="P60" i="2"/>
  <c r="O66" i="2" s="1"/>
  <c r="L60" i="2"/>
  <c r="J60" i="2"/>
  <c r="F60" i="2"/>
  <c r="D60" i="2"/>
  <c r="R59" i="2"/>
  <c r="P59" i="2"/>
  <c r="O67" i="2" s="1"/>
  <c r="L59" i="2"/>
  <c r="J59" i="2"/>
  <c r="I67" i="2" s="1"/>
  <c r="F59" i="2"/>
  <c r="D59" i="2"/>
  <c r="C67" i="2" s="1"/>
  <c r="Q56" i="2"/>
  <c r="O56" i="2"/>
  <c r="K56" i="2"/>
  <c r="E56" i="2"/>
  <c r="R52" i="2"/>
  <c r="P52" i="2"/>
  <c r="L52" i="2"/>
  <c r="J52" i="2"/>
  <c r="F52" i="2"/>
  <c r="D52" i="2"/>
  <c r="R51" i="2"/>
  <c r="P51" i="2"/>
  <c r="L51" i="2"/>
  <c r="J51" i="2"/>
  <c r="F51" i="2"/>
  <c r="D51" i="2"/>
  <c r="R50" i="2"/>
  <c r="P50" i="2"/>
  <c r="L50" i="2"/>
  <c r="J50" i="2"/>
  <c r="F50" i="2"/>
  <c r="D50" i="2"/>
  <c r="R49" i="2"/>
  <c r="P49" i="2"/>
  <c r="L49" i="2"/>
  <c r="J49" i="2"/>
  <c r="F49" i="2"/>
  <c r="D49" i="2"/>
  <c r="R48" i="2"/>
  <c r="P48" i="2"/>
  <c r="O55" i="2" s="1"/>
  <c r="L48" i="2"/>
  <c r="J48" i="2"/>
  <c r="I56" i="2" s="1"/>
  <c r="F48" i="2"/>
  <c r="D48" i="2"/>
  <c r="C56" i="2" s="1"/>
  <c r="Q45" i="2"/>
  <c r="K45" i="2"/>
  <c r="E45" i="2"/>
  <c r="R41" i="2"/>
  <c r="P41" i="2"/>
  <c r="L41" i="2"/>
  <c r="J41" i="2"/>
  <c r="F41" i="2"/>
  <c r="D41" i="2"/>
  <c r="R40" i="2"/>
  <c r="P40" i="2"/>
  <c r="L40" i="2"/>
  <c r="J40" i="2"/>
  <c r="F40" i="2"/>
  <c r="D40" i="2"/>
  <c r="R39" i="2"/>
  <c r="P39" i="2"/>
  <c r="L39" i="2"/>
  <c r="J39" i="2"/>
  <c r="F39" i="2"/>
  <c r="D39" i="2"/>
  <c r="R38" i="2"/>
  <c r="P38" i="2"/>
  <c r="L38" i="2"/>
  <c r="J38" i="2"/>
  <c r="F38" i="2"/>
  <c r="D38" i="2"/>
  <c r="R37" i="2"/>
  <c r="P37" i="2"/>
  <c r="O44" i="2" s="1"/>
  <c r="L37" i="2"/>
  <c r="J37" i="2"/>
  <c r="I45" i="2" s="1"/>
  <c r="F37" i="2"/>
  <c r="D37" i="2"/>
  <c r="C45" i="2" s="1"/>
  <c r="Q34" i="2"/>
  <c r="K34" i="2"/>
  <c r="E34" i="2"/>
  <c r="I33" i="2"/>
  <c r="R30" i="2"/>
  <c r="P30" i="2"/>
  <c r="L30" i="2"/>
  <c r="J30" i="2"/>
  <c r="F30" i="2"/>
  <c r="D30" i="2"/>
  <c r="R29" i="2"/>
  <c r="P29" i="2"/>
  <c r="L29" i="2"/>
  <c r="J29" i="2"/>
  <c r="F29" i="2"/>
  <c r="D29" i="2"/>
  <c r="R28" i="2"/>
  <c r="P28" i="2"/>
  <c r="O34" i="2" s="1"/>
  <c r="L28" i="2"/>
  <c r="J28" i="2"/>
  <c r="F28" i="2"/>
  <c r="D28" i="2"/>
  <c r="R27" i="2"/>
  <c r="P27" i="2"/>
  <c r="L27" i="2"/>
  <c r="J27" i="2"/>
  <c r="F27" i="2"/>
  <c r="D27" i="2"/>
  <c r="R26" i="2"/>
  <c r="P26" i="2"/>
  <c r="L26" i="2"/>
  <c r="J26" i="2"/>
  <c r="I34" i="2" s="1"/>
  <c r="F26" i="2"/>
  <c r="D26" i="2"/>
  <c r="C33" i="2" s="1"/>
  <c r="Q23" i="2"/>
  <c r="K23" i="2"/>
  <c r="E23" i="2"/>
  <c r="R19" i="2"/>
  <c r="P19" i="2"/>
  <c r="L19" i="2"/>
  <c r="J19" i="2"/>
  <c r="F19" i="2"/>
  <c r="D19" i="2"/>
  <c r="R18" i="2"/>
  <c r="P18" i="2"/>
  <c r="L18" i="2"/>
  <c r="J18" i="2"/>
  <c r="F18" i="2"/>
  <c r="D18" i="2"/>
  <c r="R17" i="2"/>
  <c r="P17" i="2"/>
  <c r="L17" i="2"/>
  <c r="J17" i="2"/>
  <c r="F17" i="2"/>
  <c r="D17" i="2"/>
  <c r="C22" i="2" s="1"/>
  <c r="R16" i="2"/>
  <c r="P16" i="2"/>
  <c r="L16" i="2"/>
  <c r="J16" i="2"/>
  <c r="F16" i="2"/>
  <c r="D16" i="2"/>
  <c r="R15" i="2"/>
  <c r="P15" i="2"/>
  <c r="O23" i="2" s="1"/>
  <c r="L15" i="2"/>
  <c r="J15" i="2"/>
  <c r="I23" i="2" s="1"/>
  <c r="F15" i="2"/>
  <c r="D15" i="2"/>
  <c r="C23" i="2" s="1"/>
  <c r="O12" i="2"/>
  <c r="O24" i="2" s="1"/>
  <c r="R8" i="2"/>
  <c r="P8" i="2"/>
  <c r="L8" i="2"/>
  <c r="J8" i="2"/>
  <c r="F8" i="2"/>
  <c r="D8" i="2"/>
  <c r="R7" i="2"/>
  <c r="P7" i="2"/>
  <c r="L7" i="2"/>
  <c r="J7" i="2"/>
  <c r="F7" i="2"/>
  <c r="D7" i="2"/>
  <c r="R6" i="2"/>
  <c r="P6" i="2"/>
  <c r="L6" i="2"/>
  <c r="J6" i="2"/>
  <c r="F6" i="2"/>
  <c r="D6" i="2"/>
  <c r="R5" i="2"/>
  <c r="P5" i="2"/>
  <c r="L5" i="2"/>
  <c r="J5" i="2"/>
  <c r="F5" i="2"/>
  <c r="D5" i="2"/>
  <c r="R4" i="2"/>
  <c r="P4" i="2"/>
  <c r="O11" i="2" s="1"/>
  <c r="L4" i="2"/>
  <c r="J4" i="2"/>
  <c r="I12" i="2" s="1"/>
  <c r="F4" i="2"/>
  <c r="D4" i="2"/>
  <c r="C12" i="2" s="1"/>
  <c r="I24" i="2" l="1"/>
  <c r="K24" i="2" s="1"/>
  <c r="K13" i="2"/>
  <c r="E24" i="2"/>
  <c r="C35" i="2"/>
  <c r="O35" i="2"/>
  <c r="Q24" i="2"/>
  <c r="Q35" i="2"/>
  <c r="O46" i="2"/>
  <c r="E13" i="2"/>
  <c r="C24" i="2"/>
  <c r="O111" i="2"/>
  <c r="O33" i="2"/>
  <c r="Q13" i="2"/>
  <c r="I22" i="2"/>
  <c r="O45" i="2"/>
  <c r="C77" i="2"/>
  <c r="O143" i="2"/>
  <c r="C34" i="2"/>
  <c r="O22" i="2"/>
  <c r="I77" i="2"/>
  <c r="O100" i="2"/>
  <c r="C132" i="2"/>
  <c r="I132" i="2"/>
  <c r="C66" i="2"/>
  <c r="O132" i="2"/>
  <c r="I66" i="2"/>
  <c r="C121" i="2"/>
  <c r="C55" i="2"/>
  <c r="I55" i="2"/>
  <c r="C110" i="2"/>
  <c r="C11" i="2"/>
  <c r="I11" i="2"/>
  <c r="C44" i="2"/>
  <c r="I44" i="2"/>
  <c r="I35" i="2" l="1"/>
  <c r="E35" i="2"/>
  <c r="C46" i="2"/>
  <c r="Q46" i="2"/>
  <c r="O57" i="2"/>
  <c r="I46" i="2" l="1"/>
  <c r="K35" i="2"/>
  <c r="C57" i="2"/>
  <c r="E46" i="2"/>
  <c r="O68" i="2"/>
  <c r="Q57" i="2"/>
  <c r="O79" i="2" l="1"/>
  <c r="Q68" i="2"/>
  <c r="C68" i="2"/>
  <c r="E57" i="2"/>
  <c r="I57" i="2"/>
  <c r="K46" i="2"/>
  <c r="I68" i="2" l="1"/>
  <c r="K57" i="2"/>
  <c r="C79" i="2"/>
  <c r="E68" i="2"/>
  <c r="O90" i="2"/>
  <c r="Q79" i="2"/>
  <c r="O101" i="2" l="1"/>
  <c r="Q90" i="2"/>
  <c r="E79" i="2"/>
  <c r="C90" i="2"/>
  <c r="I79" i="2"/>
  <c r="K68" i="2"/>
  <c r="C4" i="1"/>
  <c r="K79" i="2" l="1"/>
  <c r="I90" i="2"/>
  <c r="E90" i="2"/>
  <c r="C101" i="2"/>
  <c r="O112" i="2"/>
  <c r="Q101" i="2"/>
  <c r="Q112" i="2" l="1"/>
  <c r="O123" i="2"/>
  <c r="E101" i="2"/>
  <c r="C112" i="2"/>
  <c r="I101" i="2"/>
  <c r="K90" i="2"/>
  <c r="C123" i="2" l="1"/>
  <c r="E112" i="2"/>
  <c r="K101" i="2"/>
  <c r="I112" i="2"/>
  <c r="Q123" i="2"/>
  <c r="O134" i="2"/>
  <c r="Q134" i="2" l="1"/>
  <c r="O145" i="2"/>
  <c r="Q145" i="2" s="1"/>
  <c r="I123" i="2"/>
  <c r="K112" i="2"/>
  <c r="E123" i="2"/>
  <c r="C134" i="2"/>
  <c r="E134" i="2" l="1"/>
  <c r="C145" i="2"/>
  <c r="E145" i="2" s="1"/>
  <c r="I134" i="2"/>
  <c r="K123" i="2"/>
  <c r="K134" i="2" l="1"/>
  <c r="I145" i="2"/>
  <c r="K145" i="2" s="1"/>
</calcChain>
</file>

<file path=xl/sharedStrings.xml><?xml version="1.0" encoding="utf-8"?>
<sst xmlns="http://schemas.openxmlformats.org/spreadsheetml/2006/main" count="684" uniqueCount="26">
  <si>
    <t>SD</t>
  </si>
  <si>
    <t>AMP Concentration 0 ug/ml</t>
    <phoneticPr fontId="1" type="noConversion"/>
  </si>
  <si>
    <t>AMP Concentration 25 ug/ml</t>
    <phoneticPr fontId="1" type="noConversion"/>
  </si>
  <si>
    <t>AMP Concentration 50 ug/ml</t>
    <phoneticPr fontId="1" type="noConversion"/>
  </si>
  <si>
    <t>Time (hr)</t>
  </si>
  <si>
    <t>Time (hr)</t>
    <phoneticPr fontId="1" type="noConversion"/>
  </si>
  <si>
    <t>CFU/mL</t>
    <phoneticPr fontId="1" type="noConversion"/>
  </si>
  <si>
    <t>2024/10/10-2024/10/12</t>
    <phoneticPr fontId="1" type="noConversion"/>
  </si>
  <si>
    <t>SD (CFU)</t>
    <phoneticPr fontId="1" type="noConversion"/>
  </si>
  <si>
    <t>Temp.: 24℃</t>
  </si>
  <si>
    <t>CFU count (CFU)</t>
  </si>
  <si>
    <t>CFU/mL</t>
  </si>
  <si>
    <t>mean CFU/mL</t>
  </si>
  <si>
    <t>Dilute(10^n)</t>
  </si>
  <si>
    <t>loading Vol. (λ)</t>
  </si>
  <si>
    <t>Vol. (mL)</t>
  </si>
  <si>
    <t>Exp. Time</t>
  </si>
  <si>
    <t>total CFU</t>
  </si>
  <si>
    <t>test 1</t>
  </si>
  <si>
    <t>test 2</t>
  </si>
  <si>
    <t>test 3</t>
  </si>
  <si>
    <t>test 4</t>
  </si>
  <si>
    <t>test 5</t>
  </si>
  <si>
    <t>L. lactis(OD600 = 0.43，Dilute 100x) AMP Conc. 0</t>
  </si>
  <si>
    <t>L. lactis(OD600 = 0.43，Dilute 100x) AMP Conc. 25</t>
  </si>
  <si>
    <t>L. lactis(OD600 = 0.43，Dilute 100x) AMP Conc.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</si>
</sst>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&quot;月&quot;d&quot;日&quot;"/>
  </numFmts>
  <fonts count="5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2" borderId="0" xfId="0" applyFont="1" applyFill="1"/>
    <xf numFmtId="0" fontId="2" fillId="3" borderId="0" xfId="0" applyFont="1" applyFill="1"/>
    <xf numFmtId="0" fontId="2" fillId="0" borderId="0" xfId="0" applyFont="1"/>
    <xf numFmtId="0" fontId="3" fillId="2" borderId="0" xfId="0" applyFont="1" applyFill="1"/>
    <xf numFmtId="0" fontId="4" fillId="4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76" fontId="4" fillId="4" borderId="1" xfId="0" applyNumberFormat="1" applyFont="1" applyFill="1" applyBorder="1" applyAlignment="1">
      <alignment vertical="center"/>
    </xf>
    <xf numFmtId="0" fontId="2" fillId="5" borderId="2" xfId="0" applyFont="1" applyFill="1" applyBorder="1"/>
    <xf numFmtId="0" fontId="2" fillId="5" borderId="3" xfId="0" applyFont="1" applyFill="1" applyBorder="1"/>
    <xf numFmtId="0" fontId="2" fillId="5" borderId="4" xfId="0" applyFont="1" applyFill="1" applyBorder="1"/>
    <xf numFmtId="0" fontId="2" fillId="5" borderId="5" xfId="0" applyFont="1" applyFill="1" applyBorder="1"/>
    <xf numFmtId="0" fontId="2" fillId="3" borderId="6" xfId="0" applyFont="1" applyFill="1" applyBorder="1"/>
    <xf numFmtId="0" fontId="2" fillId="5" borderId="7" xfId="0" applyFont="1" applyFill="1" applyBorder="1"/>
    <xf numFmtId="0" fontId="2" fillId="3" borderId="8" xfId="0" applyFont="1" applyFill="1" applyBorder="1"/>
    <xf numFmtId="0" fontId="2" fillId="5" borderId="9" xfId="0" applyFont="1" applyFill="1" applyBorder="1"/>
    <xf numFmtId="0" fontId="2" fillId="3" borderId="1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5" borderId="0" xfId="0" applyFont="1" applyFill="1"/>
    <xf numFmtId="0" fontId="2" fillId="3" borderId="10" xfId="0" applyFont="1" applyFill="1" applyBorder="1" applyAlignment="1">
      <alignment horizontal="left"/>
    </xf>
    <xf numFmtId="0" fontId="2" fillId="3" borderId="11" xfId="0" applyFont="1" applyFill="1" applyBorder="1" applyAlignment="1">
      <alignment horizontal="left"/>
    </xf>
    <xf numFmtId="20" fontId="2" fillId="3" borderId="0" xfId="0" applyNumberFormat="1" applyFont="1" applyFill="1" applyAlignment="1">
      <alignment horizontal="left"/>
    </xf>
    <xf numFmtId="0" fontId="2" fillId="3" borderId="6" xfId="0" applyFont="1" applyFill="1" applyBorder="1" applyAlignment="1">
      <alignment horizontal="left"/>
    </xf>
    <xf numFmtId="0" fontId="2" fillId="5" borderId="13" xfId="0" applyFont="1" applyFill="1" applyBorder="1"/>
    <xf numFmtId="0" fontId="2" fillId="3" borderId="1" xfId="0" applyFont="1" applyFill="1" applyBorder="1"/>
    <xf numFmtId="0" fontId="2" fillId="5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3" borderId="14" xfId="0" applyFont="1" applyFill="1" applyBorder="1" applyAlignment="1">
      <alignment horizontal="left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7"/>
  <sheetViews>
    <sheetView tabSelected="1" zoomScale="78" zoomScaleNormal="55" workbookViewId="0">
      <selection activeCell="H15" sqref="H15"/>
    </sheetView>
  </sheetViews>
  <sheetFormatPr defaultRowHeight="13.9" x14ac:dyDescent="0.4"/>
  <cols>
    <col min="1" max="1" width="9.140625" style="3"/>
    <col min="2" max="2" width="26" style="3" bestFit="1" customWidth="1"/>
    <col min="3" max="3" width="15.140625" style="3" bestFit="1" customWidth="1"/>
    <col min="4" max="4" width="11.7109375" style="3" bestFit="1" customWidth="1"/>
    <col min="5" max="5" width="13.42578125" style="3" bestFit="1" customWidth="1"/>
    <col min="6" max="6" width="9.5703125" style="3" bestFit="1" customWidth="1"/>
    <col min="7" max="7" width="10.140625" style="3" bestFit="1" customWidth="1"/>
    <col min="8" max="16384" width="9.140625" style="3"/>
  </cols>
  <sheetData>
    <row r="2" spans="2:5" x14ac:dyDescent="0.4">
      <c r="B2" s="4" t="s">
        <v>1</v>
      </c>
      <c r="C2" s="1" t="s">
        <v>5</v>
      </c>
      <c r="D2" s="1" t="s">
        <v>6</v>
      </c>
      <c r="E2" s="1" t="s">
        <v>0</v>
      </c>
    </row>
    <row r="3" spans="2:5" x14ac:dyDescent="0.4">
      <c r="B3" s="2"/>
      <c r="C3" s="2">
        <v>0</v>
      </c>
      <c r="D3" s="3">
        <v>552000</v>
      </c>
      <c r="E3" s="2">
        <v>151472.76983009189</v>
      </c>
    </row>
    <row r="4" spans="2:5" x14ac:dyDescent="0.4">
      <c r="B4" s="2"/>
      <c r="C4" s="2">
        <f>C20</f>
        <v>1.6666666666666666E-2</v>
      </c>
      <c r="D4" s="3">
        <v>4760000</v>
      </c>
      <c r="E4" s="3">
        <v>1541946.8213917105</v>
      </c>
    </row>
    <row r="5" spans="2:5" x14ac:dyDescent="0.4">
      <c r="B5" s="2"/>
      <c r="C5" s="2">
        <v>0.25</v>
      </c>
      <c r="D5" s="3">
        <v>3500000</v>
      </c>
      <c r="E5" s="3">
        <v>1533623.1610144649</v>
      </c>
    </row>
    <row r="6" spans="2:5" x14ac:dyDescent="0.4">
      <c r="B6" s="2"/>
      <c r="C6" s="2">
        <v>0.5</v>
      </c>
      <c r="D6" s="3">
        <v>4320000</v>
      </c>
      <c r="E6" s="3">
        <v>1387948.1258317977</v>
      </c>
    </row>
    <row r="7" spans="2:5" x14ac:dyDescent="0.4">
      <c r="B7" s="2"/>
      <c r="C7" s="2">
        <v>1</v>
      </c>
      <c r="D7" s="3">
        <v>5980000</v>
      </c>
      <c r="E7" s="3">
        <v>1433317.8293735133</v>
      </c>
    </row>
    <row r="8" spans="2:5" x14ac:dyDescent="0.4">
      <c r="B8" s="2"/>
      <c r="C8" s="2">
        <v>2</v>
      </c>
      <c r="D8" s="3">
        <v>7360000</v>
      </c>
      <c r="E8" s="3">
        <v>1861612.2045152152</v>
      </c>
    </row>
    <row r="9" spans="2:5" x14ac:dyDescent="0.4">
      <c r="B9" s="2"/>
      <c r="C9" s="2">
        <v>3</v>
      </c>
      <c r="D9" s="3">
        <v>7120000</v>
      </c>
      <c r="E9" s="3">
        <v>744043.00950953097</v>
      </c>
    </row>
    <row r="10" spans="2:5" x14ac:dyDescent="0.4">
      <c r="B10" s="2"/>
      <c r="C10" s="2">
        <v>4</v>
      </c>
      <c r="D10" s="3">
        <v>10560000</v>
      </c>
      <c r="E10" s="3">
        <v>2375205.2542885635</v>
      </c>
    </row>
    <row r="11" spans="2:5" x14ac:dyDescent="0.4">
      <c r="B11" s="2"/>
      <c r="C11" s="2">
        <v>8</v>
      </c>
      <c r="D11" s="3">
        <v>34000000</v>
      </c>
      <c r="E11" s="3">
        <v>3577708.7639996633</v>
      </c>
    </row>
    <row r="12" spans="2:5" x14ac:dyDescent="0.4">
      <c r="B12" s="2"/>
      <c r="C12" s="2">
        <v>12</v>
      </c>
      <c r="D12" s="3">
        <v>56400000</v>
      </c>
      <c r="E12" s="3">
        <v>5571355.3108736482</v>
      </c>
    </row>
    <row r="13" spans="2:5" x14ac:dyDescent="0.4">
      <c r="B13" s="2"/>
      <c r="C13" s="2">
        <v>18</v>
      </c>
      <c r="D13" s="3">
        <v>152800000</v>
      </c>
      <c r="E13" s="3">
        <v>34857423.886454947</v>
      </c>
    </row>
    <row r="14" spans="2:5" x14ac:dyDescent="0.4">
      <c r="B14" s="2"/>
      <c r="C14" s="2">
        <v>24</v>
      </c>
      <c r="D14" s="3">
        <v>254300000</v>
      </c>
      <c r="E14" s="3">
        <v>21845823.39945098</v>
      </c>
    </row>
    <row r="15" spans="2:5" x14ac:dyDescent="0.4">
      <c r="B15" s="2"/>
      <c r="C15" s="2">
        <v>36</v>
      </c>
      <c r="D15" s="3">
        <v>377000000</v>
      </c>
      <c r="E15" s="3">
        <v>37841775.856849</v>
      </c>
    </row>
    <row r="18" spans="2:5" x14ac:dyDescent="0.4">
      <c r="B18" s="4" t="s">
        <v>2</v>
      </c>
      <c r="C18" s="1" t="s">
        <v>4</v>
      </c>
      <c r="D18" s="1" t="s">
        <v>6</v>
      </c>
      <c r="E18" s="1" t="s">
        <v>0</v>
      </c>
    </row>
    <row r="19" spans="2:5" x14ac:dyDescent="0.4">
      <c r="B19" s="2"/>
      <c r="C19" s="2">
        <v>0</v>
      </c>
      <c r="D19" s="3">
        <v>552000</v>
      </c>
      <c r="E19" s="2">
        <v>151472.76983009189</v>
      </c>
    </row>
    <row r="20" spans="2:5" x14ac:dyDescent="0.4">
      <c r="B20" s="2"/>
      <c r="C20" s="2">
        <v>1.6666666666666666E-2</v>
      </c>
      <c r="D20" s="3">
        <v>4360000</v>
      </c>
      <c r="E20" s="3">
        <v>1394847.6619330153</v>
      </c>
    </row>
    <row r="21" spans="2:5" x14ac:dyDescent="0.4">
      <c r="B21" s="2"/>
      <c r="C21" s="2">
        <v>0.25</v>
      </c>
      <c r="D21" s="3">
        <v>3320000</v>
      </c>
      <c r="E21" s="3">
        <v>1556406.1166674974</v>
      </c>
    </row>
    <row r="22" spans="2:5" x14ac:dyDescent="0.4">
      <c r="B22" s="2"/>
      <c r="C22" s="2">
        <v>0.5</v>
      </c>
      <c r="D22" s="3">
        <v>4420000</v>
      </c>
      <c r="E22" s="3">
        <v>1022936.9482035538</v>
      </c>
    </row>
    <row r="23" spans="2:5" x14ac:dyDescent="0.4">
      <c r="B23" s="2"/>
      <c r="C23" s="2">
        <v>1</v>
      </c>
      <c r="D23" s="3">
        <v>2960000</v>
      </c>
      <c r="E23" s="3">
        <v>427083.13008125243</v>
      </c>
    </row>
    <row r="24" spans="2:5" x14ac:dyDescent="0.4">
      <c r="B24" s="2"/>
      <c r="C24" s="2">
        <v>2</v>
      </c>
      <c r="D24" s="3">
        <v>4580000</v>
      </c>
      <c r="E24" s="3">
        <v>1127120.2242884296</v>
      </c>
    </row>
    <row r="25" spans="2:5" x14ac:dyDescent="0.4">
      <c r="B25" s="2"/>
      <c r="C25" s="2">
        <v>3</v>
      </c>
      <c r="D25" s="3">
        <v>7080000</v>
      </c>
      <c r="E25" s="3">
        <v>587877.53826796275</v>
      </c>
    </row>
    <row r="26" spans="2:5" x14ac:dyDescent="0.4">
      <c r="B26" s="2"/>
      <c r="C26" s="2">
        <v>4</v>
      </c>
      <c r="D26" s="3">
        <v>8940000</v>
      </c>
      <c r="E26" s="3">
        <v>1582908.7149927502</v>
      </c>
    </row>
    <row r="27" spans="2:5" x14ac:dyDescent="0.4">
      <c r="B27" s="2"/>
      <c r="C27" s="2">
        <v>8</v>
      </c>
      <c r="D27" s="3">
        <v>23080000</v>
      </c>
      <c r="E27" s="3">
        <v>3188479.2613407411</v>
      </c>
    </row>
    <row r="28" spans="2:5" x14ac:dyDescent="0.4">
      <c r="B28" s="2"/>
      <c r="C28" s="2">
        <v>12</v>
      </c>
      <c r="D28" s="3">
        <v>61200000</v>
      </c>
      <c r="E28" s="3">
        <v>22992172.581119865</v>
      </c>
    </row>
    <row r="29" spans="2:5" x14ac:dyDescent="0.4">
      <c r="B29" s="2"/>
      <c r="C29" s="2">
        <v>18</v>
      </c>
      <c r="D29" s="3">
        <v>172600000</v>
      </c>
      <c r="E29" s="3">
        <v>24935115.800813921</v>
      </c>
    </row>
    <row r="30" spans="2:5" x14ac:dyDescent="0.4">
      <c r="B30" s="2"/>
      <c r="C30" s="2">
        <v>24</v>
      </c>
      <c r="D30" s="3">
        <v>265400000</v>
      </c>
      <c r="E30" s="3">
        <v>28944084.024200868</v>
      </c>
    </row>
    <row r="31" spans="2:5" x14ac:dyDescent="0.4">
      <c r="B31" s="2"/>
      <c r="C31" s="2">
        <v>36</v>
      </c>
      <c r="D31" s="3">
        <v>261400000</v>
      </c>
      <c r="E31" s="3">
        <v>28694250.295137528</v>
      </c>
    </row>
    <row r="34" spans="2:5" x14ac:dyDescent="0.4">
      <c r="B34" s="4" t="s">
        <v>3</v>
      </c>
      <c r="C34" s="1" t="s">
        <v>4</v>
      </c>
      <c r="D34" s="1" t="s">
        <v>6</v>
      </c>
      <c r="E34" s="1" t="s">
        <v>0</v>
      </c>
    </row>
    <row r="35" spans="2:5" x14ac:dyDescent="0.4">
      <c r="B35" s="2"/>
      <c r="C35" s="2">
        <v>0</v>
      </c>
      <c r="D35" s="3">
        <v>552000</v>
      </c>
      <c r="E35" s="2">
        <v>151472.76983009189</v>
      </c>
    </row>
    <row r="36" spans="2:5" x14ac:dyDescent="0.4">
      <c r="B36" s="2"/>
      <c r="C36" s="2">
        <v>1.6666666666666666E-2</v>
      </c>
      <c r="D36" s="3">
        <v>3780000</v>
      </c>
      <c r="E36" s="3">
        <v>1566652.482205291</v>
      </c>
    </row>
    <row r="37" spans="2:5" x14ac:dyDescent="0.4">
      <c r="B37" s="2"/>
      <c r="C37" s="2">
        <v>0.25</v>
      </c>
      <c r="D37" s="3">
        <v>2880000</v>
      </c>
      <c r="E37" s="3">
        <v>348711.91548325389</v>
      </c>
    </row>
    <row r="38" spans="2:5" x14ac:dyDescent="0.4">
      <c r="B38" s="2"/>
      <c r="C38" s="2">
        <v>0.5</v>
      </c>
      <c r="D38" s="3">
        <v>3120000</v>
      </c>
      <c r="E38" s="3">
        <v>530659.96645686403</v>
      </c>
    </row>
    <row r="39" spans="2:5" x14ac:dyDescent="0.4">
      <c r="B39" s="2"/>
      <c r="C39" s="2">
        <v>1</v>
      </c>
      <c r="D39" s="3">
        <v>3160000</v>
      </c>
      <c r="E39" s="3">
        <v>542586.39865002141</v>
      </c>
    </row>
    <row r="40" spans="2:5" x14ac:dyDescent="0.4">
      <c r="B40" s="2"/>
      <c r="C40" s="2">
        <v>2</v>
      </c>
      <c r="D40" s="3">
        <v>3680000</v>
      </c>
      <c r="E40" s="3">
        <v>515363.94906900503</v>
      </c>
    </row>
    <row r="41" spans="2:5" x14ac:dyDescent="0.4">
      <c r="B41" s="2"/>
      <c r="C41" s="2">
        <v>3</v>
      </c>
      <c r="D41" s="3">
        <v>3640000</v>
      </c>
      <c r="E41" s="3">
        <v>685857.12797928986</v>
      </c>
    </row>
    <row r="42" spans="2:5" x14ac:dyDescent="0.4">
      <c r="B42" s="2"/>
      <c r="C42" s="2">
        <v>4</v>
      </c>
      <c r="D42" s="3">
        <v>4920000</v>
      </c>
      <c r="E42" s="3">
        <v>627375.48565432488</v>
      </c>
    </row>
    <row r="43" spans="2:5" x14ac:dyDescent="0.4">
      <c r="B43" s="2"/>
      <c r="C43" s="2">
        <v>8</v>
      </c>
      <c r="D43" s="3">
        <v>10380000</v>
      </c>
      <c r="E43" s="3">
        <v>1749971.4283381884</v>
      </c>
    </row>
    <row r="44" spans="2:5" x14ac:dyDescent="0.4">
      <c r="B44" s="2"/>
      <c r="C44" s="2">
        <v>12</v>
      </c>
      <c r="D44" s="3">
        <v>43800000</v>
      </c>
      <c r="E44" s="3">
        <v>6222539.6744416179</v>
      </c>
    </row>
    <row r="45" spans="2:5" x14ac:dyDescent="0.4">
      <c r="B45" s="2"/>
      <c r="C45" s="2">
        <v>18</v>
      </c>
      <c r="D45" s="3">
        <v>130200000</v>
      </c>
      <c r="E45" s="3">
        <v>24573156.085452273</v>
      </c>
    </row>
    <row r="46" spans="2:5" x14ac:dyDescent="0.4">
      <c r="B46" s="2"/>
      <c r="C46" s="2">
        <v>24</v>
      </c>
      <c r="D46" s="3">
        <v>292600000</v>
      </c>
      <c r="E46" s="3">
        <v>26791043.279424563</v>
      </c>
    </row>
    <row r="47" spans="2:5" x14ac:dyDescent="0.4">
      <c r="B47" s="2"/>
      <c r="C47" s="2">
        <v>36</v>
      </c>
      <c r="D47" s="3">
        <v>351400000</v>
      </c>
      <c r="E47" s="3">
        <v>36345013.413121752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489D8-F8E8-4214-B536-E001DD6FBFD8}">
  <dimension ref="B2:R145"/>
  <sheetViews>
    <sheetView topLeftCell="A143" workbookViewId="0">
      <selection activeCell="D154" sqref="D154"/>
    </sheetView>
  </sheetViews>
  <sheetFormatPr defaultRowHeight="13.9" x14ac:dyDescent="0.4"/>
  <cols>
    <col min="1" max="1" width="9.140625" style="3"/>
    <col min="2" max="2" width="14.35546875" style="3" bestFit="1" customWidth="1"/>
    <col min="3" max="3" width="19.2109375" style="3" customWidth="1"/>
    <col min="4" max="4" width="15.78515625" style="3" customWidth="1"/>
    <col min="5" max="5" width="16.42578125" style="3" bestFit="1" customWidth="1"/>
    <col min="6" max="6" width="22" style="3" bestFit="1" customWidth="1"/>
    <col min="7" max="7" width="9.140625" style="3"/>
    <col min="8" max="8" width="14.35546875" style="3" bestFit="1" customWidth="1"/>
    <col min="9" max="9" width="18.78515625" style="3" customWidth="1"/>
    <col min="10" max="10" width="17.28515625" style="3" customWidth="1"/>
    <col min="11" max="11" width="16.42578125" style="3" bestFit="1" customWidth="1"/>
    <col min="12" max="12" width="22" style="3" bestFit="1" customWidth="1"/>
    <col min="13" max="13" width="9.140625" style="3"/>
    <col min="14" max="14" width="14.35546875" style="3" bestFit="1" customWidth="1"/>
    <col min="15" max="15" width="17.92578125" style="3" customWidth="1"/>
    <col min="16" max="16" width="16.35546875" style="3" customWidth="1"/>
    <col min="17" max="17" width="16.42578125" style="3" bestFit="1" customWidth="1"/>
    <col min="18" max="18" width="22" style="3" bestFit="1" customWidth="1"/>
    <col min="19" max="16384" width="9.140625" style="3"/>
  </cols>
  <sheetData>
    <row r="2" spans="2:18" ht="14.25" thickBot="1" x14ac:dyDescent="0.45">
      <c r="B2" s="5" t="s">
        <v>23</v>
      </c>
      <c r="C2" s="5"/>
      <c r="D2" s="5"/>
      <c r="E2" s="6" t="s">
        <v>9</v>
      </c>
      <c r="F2" s="7" t="s">
        <v>7</v>
      </c>
      <c r="H2" s="5" t="s">
        <v>24</v>
      </c>
      <c r="I2" s="5"/>
      <c r="J2" s="5"/>
      <c r="K2" s="6" t="s">
        <v>9</v>
      </c>
      <c r="L2" s="7" t="s">
        <v>7</v>
      </c>
      <c r="N2" s="5" t="s">
        <v>25</v>
      </c>
      <c r="O2" s="5"/>
      <c r="P2" s="5"/>
      <c r="Q2" s="6" t="s">
        <v>9</v>
      </c>
      <c r="R2" s="7" t="s">
        <v>7</v>
      </c>
    </row>
    <row r="3" spans="2:18" x14ac:dyDescent="0.4">
      <c r="B3" s="8">
        <v>1</v>
      </c>
      <c r="C3" s="9" t="s">
        <v>10</v>
      </c>
      <c r="D3" s="10" t="s">
        <v>11</v>
      </c>
      <c r="E3" s="9" t="s">
        <v>10</v>
      </c>
      <c r="F3" s="10" t="s">
        <v>11</v>
      </c>
      <c r="H3" s="8">
        <v>1</v>
      </c>
      <c r="I3" s="9" t="s">
        <v>10</v>
      </c>
      <c r="J3" s="10" t="s">
        <v>11</v>
      </c>
      <c r="K3" s="9" t="s">
        <v>10</v>
      </c>
      <c r="L3" s="10" t="s">
        <v>11</v>
      </c>
      <c r="N3" s="8">
        <v>1</v>
      </c>
      <c r="O3" s="9" t="s">
        <v>10</v>
      </c>
      <c r="P3" s="10" t="s">
        <v>11</v>
      </c>
      <c r="Q3" s="9" t="s">
        <v>10</v>
      </c>
      <c r="R3" s="10" t="s">
        <v>11</v>
      </c>
    </row>
    <row r="4" spans="2:18" x14ac:dyDescent="0.4">
      <c r="B4" s="11" t="s">
        <v>18</v>
      </c>
      <c r="C4" s="2">
        <v>3</v>
      </c>
      <c r="D4" s="12">
        <f>IF(ISNUMBER(C4) = TRUE, C4*10^C$9*1000/C$10, "N/A")</f>
        <v>600000</v>
      </c>
      <c r="E4" s="2">
        <v>28</v>
      </c>
      <c r="F4" s="12">
        <f>IF(ISNUMBER(E4) = TRUE, E4*10^E$9*1000/E$10, "N/A")</f>
        <v>560000</v>
      </c>
      <c r="H4" s="11" t="s">
        <v>18</v>
      </c>
      <c r="I4" s="2">
        <v>3</v>
      </c>
      <c r="J4" s="12">
        <f>IF(ISNUMBER(I4) = TRUE, I4*10^I$9*1000/I$10, "N/A")</f>
        <v>600000</v>
      </c>
      <c r="K4" s="2">
        <v>28</v>
      </c>
      <c r="L4" s="12">
        <f>IF(ISNUMBER(K4) = TRUE, K4*10^K$9*1000/K$10, "N/A")</f>
        <v>560000</v>
      </c>
      <c r="N4" s="11" t="s">
        <v>18</v>
      </c>
      <c r="O4" s="2">
        <v>3</v>
      </c>
      <c r="P4" s="12">
        <f>IF(ISNUMBER(O4) = TRUE, O4*10^O$9*1000/O$10, "N/A")</f>
        <v>600000</v>
      </c>
      <c r="Q4" s="2">
        <v>28</v>
      </c>
      <c r="R4" s="12">
        <f>IF(ISNUMBER(Q4) = TRUE, Q4*10^Q$9*1000/Q$10, "N/A")</f>
        <v>560000</v>
      </c>
    </row>
    <row r="5" spans="2:18" x14ac:dyDescent="0.4">
      <c r="B5" s="11" t="s">
        <v>19</v>
      </c>
      <c r="C5" s="2">
        <v>4</v>
      </c>
      <c r="D5" s="12">
        <f>IF(ISNUMBER(C5) = TRUE, C5*10^C$9*1000/C$10, "N/A")</f>
        <v>800000</v>
      </c>
      <c r="E5" s="2">
        <v>26</v>
      </c>
      <c r="F5" s="12">
        <f>IF(ISNUMBER(E5) = TRUE, E5*10^E$9*1000/E$10, "N/A")</f>
        <v>520000</v>
      </c>
      <c r="H5" s="11" t="s">
        <v>19</v>
      </c>
      <c r="I5" s="2">
        <v>4</v>
      </c>
      <c r="J5" s="12">
        <f>IF(ISNUMBER(I5) = TRUE, I5*10^I$9*1000/I$10, "N/A")</f>
        <v>800000</v>
      </c>
      <c r="K5" s="2">
        <v>26</v>
      </c>
      <c r="L5" s="12">
        <f>IF(ISNUMBER(K5) = TRUE, K5*10^K$9*1000/K$10, "N/A")</f>
        <v>520000</v>
      </c>
      <c r="N5" s="11" t="s">
        <v>19</v>
      </c>
      <c r="O5" s="2">
        <v>4</v>
      </c>
      <c r="P5" s="12">
        <f>IF(ISNUMBER(O5) = TRUE, O5*10^O$9*1000/O$10, "N/A")</f>
        <v>800000</v>
      </c>
      <c r="Q5" s="2">
        <v>26</v>
      </c>
      <c r="R5" s="12">
        <f>IF(ISNUMBER(Q5) = TRUE, Q5*10^Q$9*1000/Q$10, "N/A")</f>
        <v>520000</v>
      </c>
    </row>
    <row r="6" spans="2:18" x14ac:dyDescent="0.4">
      <c r="B6" s="11" t="s">
        <v>20</v>
      </c>
      <c r="C6" s="2">
        <v>2</v>
      </c>
      <c r="D6" s="12">
        <f>IF(ISNUMBER(C6) = TRUE, C6*10^C$9*1000/C$10, "N/A")</f>
        <v>400000</v>
      </c>
      <c r="E6" s="2">
        <v>29</v>
      </c>
      <c r="F6" s="12">
        <f>IF(ISNUMBER(E6) = TRUE, E6*10^E$9*1000/E$10, "N/A")</f>
        <v>580000</v>
      </c>
      <c r="H6" s="11" t="s">
        <v>20</v>
      </c>
      <c r="I6" s="2">
        <v>2</v>
      </c>
      <c r="J6" s="12">
        <f>IF(ISNUMBER(I6) = TRUE, I6*10^I$9*1000/I$10, "N/A")</f>
        <v>400000</v>
      </c>
      <c r="K6" s="2">
        <v>29</v>
      </c>
      <c r="L6" s="12">
        <f>IF(ISNUMBER(K6) = TRUE, K6*10^K$9*1000/K$10, "N/A")</f>
        <v>580000</v>
      </c>
      <c r="N6" s="11" t="s">
        <v>20</v>
      </c>
      <c r="O6" s="2">
        <v>2</v>
      </c>
      <c r="P6" s="12">
        <f>IF(ISNUMBER(O6) = TRUE, O6*10^O$9*1000/O$10, "N/A")</f>
        <v>400000</v>
      </c>
      <c r="Q6" s="2">
        <v>29</v>
      </c>
      <c r="R6" s="12">
        <f>IF(ISNUMBER(Q6) = TRUE, Q6*10^Q$9*1000/Q$10, "N/A")</f>
        <v>580000</v>
      </c>
    </row>
    <row r="7" spans="2:18" x14ac:dyDescent="0.4">
      <c r="B7" s="11" t="s">
        <v>21</v>
      </c>
      <c r="C7" s="2">
        <v>3</v>
      </c>
      <c r="D7" s="12">
        <f>IF(ISNUMBER(C7) = TRUE, C7*10^C$9*1000/C$10, "N/A")</f>
        <v>600000</v>
      </c>
      <c r="E7" s="2">
        <v>27</v>
      </c>
      <c r="F7" s="12">
        <f>IF(ISNUMBER(E7) = TRUE, E7*10^E$9*1000/E$10, "N/A")</f>
        <v>540000</v>
      </c>
      <c r="H7" s="11" t="s">
        <v>21</v>
      </c>
      <c r="I7" s="2">
        <v>3</v>
      </c>
      <c r="J7" s="12">
        <f>IF(ISNUMBER(I7) = TRUE, I7*10^I$9*1000/I$10, "N/A")</f>
        <v>600000</v>
      </c>
      <c r="K7" s="2">
        <v>27</v>
      </c>
      <c r="L7" s="12">
        <f>IF(ISNUMBER(K7) = TRUE, K7*10^K$9*1000/K$10, "N/A")</f>
        <v>540000</v>
      </c>
      <c r="N7" s="11" t="s">
        <v>21</v>
      </c>
      <c r="O7" s="2">
        <v>3</v>
      </c>
      <c r="P7" s="12">
        <f>IF(ISNUMBER(O7) = TRUE, O7*10^O$9*1000/O$10, "N/A")</f>
        <v>600000</v>
      </c>
      <c r="Q7" s="2">
        <v>27</v>
      </c>
      <c r="R7" s="12">
        <f>IF(ISNUMBER(Q7) = TRUE, Q7*10^Q$9*1000/Q$10, "N/A")</f>
        <v>540000</v>
      </c>
    </row>
    <row r="8" spans="2:18" x14ac:dyDescent="0.4">
      <c r="B8" s="13" t="s">
        <v>22</v>
      </c>
      <c r="C8" s="14">
        <v>2</v>
      </c>
      <c r="D8" s="12">
        <f>IF(ISNUMBER(C8) = TRUE, C8*10^C$9*1000/C$10, "N/A")</f>
        <v>400000</v>
      </c>
      <c r="E8" s="14">
        <v>26</v>
      </c>
      <c r="F8" s="12">
        <f>IF(ISNUMBER(E8) = TRUE, E8*10^E$9*1000/E$10, "N/A")</f>
        <v>520000</v>
      </c>
      <c r="H8" s="13" t="s">
        <v>22</v>
      </c>
      <c r="I8" s="14">
        <v>2</v>
      </c>
      <c r="J8" s="12">
        <f>IF(ISNUMBER(I8) = TRUE, I8*10^I$9*1000/I$10, "N/A")</f>
        <v>400000</v>
      </c>
      <c r="K8" s="14">
        <v>26</v>
      </c>
      <c r="L8" s="12">
        <f>IF(ISNUMBER(K8) = TRUE, K8*10^K$9*1000/K$10, "N/A")</f>
        <v>520000</v>
      </c>
      <c r="N8" s="13" t="s">
        <v>22</v>
      </c>
      <c r="O8" s="14">
        <v>2</v>
      </c>
      <c r="P8" s="12">
        <f>IF(ISNUMBER(O8) = TRUE, O8*10^O$9*1000/O$10, "N/A")</f>
        <v>400000</v>
      </c>
      <c r="Q8" s="14">
        <v>26</v>
      </c>
      <c r="R8" s="12">
        <f>IF(ISNUMBER(Q8) = TRUE, Q8*10^Q$9*1000/Q$10, "N/A")</f>
        <v>520000</v>
      </c>
    </row>
    <row r="9" spans="2:18" x14ac:dyDescent="0.4">
      <c r="B9" s="15" t="s">
        <v>13</v>
      </c>
      <c r="C9" s="16">
        <v>3</v>
      </c>
      <c r="D9" s="17"/>
      <c r="E9" s="16">
        <v>2</v>
      </c>
      <c r="F9" s="17"/>
      <c r="H9" s="15" t="s">
        <v>13</v>
      </c>
      <c r="I9" s="16">
        <v>3</v>
      </c>
      <c r="J9" s="17"/>
      <c r="K9" s="16">
        <v>2</v>
      </c>
      <c r="L9" s="17"/>
      <c r="N9" s="15" t="s">
        <v>13</v>
      </c>
      <c r="O9" s="16">
        <v>3</v>
      </c>
      <c r="P9" s="17"/>
      <c r="Q9" s="16">
        <v>2</v>
      </c>
      <c r="R9" s="17"/>
    </row>
    <row r="10" spans="2:18" x14ac:dyDescent="0.4">
      <c r="B10" s="13" t="s">
        <v>14</v>
      </c>
      <c r="C10" s="18">
        <v>5</v>
      </c>
      <c r="D10" s="19"/>
      <c r="E10" s="18">
        <v>5</v>
      </c>
      <c r="F10" s="19"/>
      <c r="H10" s="13" t="s">
        <v>14</v>
      </c>
      <c r="I10" s="18">
        <v>5</v>
      </c>
      <c r="J10" s="19"/>
      <c r="K10" s="18">
        <v>5</v>
      </c>
      <c r="L10" s="19"/>
      <c r="N10" s="13" t="s">
        <v>14</v>
      </c>
      <c r="O10" s="18">
        <v>5</v>
      </c>
      <c r="P10" s="19"/>
      <c r="Q10" s="18">
        <v>5</v>
      </c>
      <c r="R10" s="19"/>
    </row>
    <row r="11" spans="2:18" x14ac:dyDescent="0.4">
      <c r="B11" s="11" t="s">
        <v>8</v>
      </c>
      <c r="C11" s="2">
        <f>IF(ISBLANK(E4) = FALSE, (_xlfn.STDEV.P(D4:D8)^2+_xlfn.STDEV.P(F4:F8)^2)^(1/2), _xlfn.STDEV.P(D4:D8))</f>
        <v>151472.76983009189</v>
      </c>
      <c r="D11" s="20" t="s">
        <v>4</v>
      </c>
      <c r="E11" s="21">
        <v>0</v>
      </c>
      <c r="F11" s="22"/>
      <c r="H11" s="11" t="s">
        <v>8</v>
      </c>
      <c r="I11" s="2">
        <f>IF(ISBLANK(K4) = FALSE, (_xlfn.STDEV.P(J4:J8)^2+_xlfn.STDEV.P(L4:L8)^2)^(1/2), _xlfn.STDEV.P(J4:J8))</f>
        <v>151472.76983009189</v>
      </c>
      <c r="J11" s="20" t="s">
        <v>4</v>
      </c>
      <c r="K11" s="21">
        <v>0</v>
      </c>
      <c r="L11" s="22"/>
      <c r="N11" s="11" t="s">
        <v>8</v>
      </c>
      <c r="O11" s="2">
        <f>IF(ISBLANK(Q4) = FALSE, (_xlfn.STDEV.P(P4:P8)^2+_xlfn.STDEV.P(R4:R8)^2)^(1/2), _xlfn.STDEV.P(P4:P8))</f>
        <v>151472.76983009189</v>
      </c>
      <c r="P11" s="20" t="s">
        <v>4</v>
      </c>
      <c r="Q11" s="21">
        <v>0</v>
      </c>
      <c r="R11" s="22"/>
    </row>
    <row r="12" spans="2:18" x14ac:dyDescent="0.4">
      <c r="B12" s="11" t="s">
        <v>12</v>
      </c>
      <c r="C12" s="2">
        <f>IF(ISBLANK(E4) = FALSE, (AVERAGE(D4:D8)+AVERAGE(F4:F8))/2, AVERAGE(D4:D8))</f>
        <v>552000</v>
      </c>
      <c r="D12" s="20" t="s">
        <v>16</v>
      </c>
      <c r="E12" s="23">
        <v>0.35416666666666669</v>
      </c>
      <c r="F12" s="24"/>
      <c r="H12" s="11" t="s">
        <v>12</v>
      </c>
      <c r="I12" s="2">
        <f>IF(ISBLANK(K4) = FALSE, (AVERAGE(J4:J8)+AVERAGE(L4:L8))/2, AVERAGE(J4:J8))</f>
        <v>552000</v>
      </c>
      <c r="J12" s="20" t="s">
        <v>16</v>
      </c>
      <c r="K12" s="23">
        <v>0.35416666666666669</v>
      </c>
      <c r="L12" s="24"/>
      <c r="N12" s="11" t="s">
        <v>12</v>
      </c>
      <c r="O12" s="2">
        <f>IF(ISBLANK(Q4) = FALSE, (AVERAGE(P4:P8)+AVERAGE(R4:R8))/2, AVERAGE(P4:P8))</f>
        <v>552000</v>
      </c>
      <c r="P12" s="20" t="s">
        <v>16</v>
      </c>
      <c r="Q12" s="23">
        <v>0.35416666666666669</v>
      </c>
      <c r="R12" s="24"/>
    </row>
    <row r="13" spans="2:18" ht="14.25" thickBot="1" x14ac:dyDescent="0.45">
      <c r="B13" s="25" t="s">
        <v>15</v>
      </c>
      <c r="C13" s="26">
        <v>5</v>
      </c>
      <c r="D13" s="27" t="s">
        <v>17</v>
      </c>
      <c r="E13" s="28">
        <f>C12*C13</f>
        <v>2760000</v>
      </c>
      <c r="F13" s="29"/>
      <c r="H13" s="25" t="s">
        <v>15</v>
      </c>
      <c r="I13" s="26">
        <v>5</v>
      </c>
      <c r="J13" s="27" t="s">
        <v>17</v>
      </c>
      <c r="K13" s="28">
        <f>I12*I13</f>
        <v>2760000</v>
      </c>
      <c r="L13" s="29"/>
      <c r="N13" s="25" t="s">
        <v>15</v>
      </c>
      <c r="O13" s="26">
        <v>5</v>
      </c>
      <c r="P13" s="27" t="s">
        <v>17</v>
      </c>
      <c r="Q13" s="28">
        <f>O12*O13</f>
        <v>2760000</v>
      </c>
      <c r="R13" s="29"/>
    </row>
    <row r="14" spans="2:18" x14ac:dyDescent="0.4">
      <c r="B14" s="8">
        <v>2</v>
      </c>
      <c r="C14" s="9" t="s">
        <v>10</v>
      </c>
      <c r="D14" s="10" t="s">
        <v>11</v>
      </c>
      <c r="E14" s="9" t="s">
        <v>10</v>
      </c>
      <c r="F14" s="10" t="s">
        <v>11</v>
      </c>
      <c r="H14" s="8">
        <v>2</v>
      </c>
      <c r="I14" s="9" t="s">
        <v>10</v>
      </c>
      <c r="J14" s="10" t="s">
        <v>11</v>
      </c>
      <c r="K14" s="9" t="s">
        <v>10</v>
      </c>
      <c r="L14" s="10" t="s">
        <v>11</v>
      </c>
      <c r="N14" s="8">
        <v>2</v>
      </c>
      <c r="O14" s="9" t="s">
        <v>10</v>
      </c>
      <c r="P14" s="10" t="s">
        <v>11</v>
      </c>
      <c r="Q14" s="9" t="s">
        <v>10</v>
      </c>
      <c r="R14" s="10" t="s">
        <v>11</v>
      </c>
    </row>
    <row r="15" spans="2:18" x14ac:dyDescent="0.4">
      <c r="B15" s="11" t="s">
        <v>18</v>
      </c>
      <c r="C15" s="2">
        <v>27</v>
      </c>
      <c r="D15" s="12">
        <f>IF(ISNUMBER(C15) = TRUE, C15*10^C$20*1000/C$21, "N/A")</f>
        <v>5400000</v>
      </c>
      <c r="E15" s="2">
        <v>2</v>
      </c>
      <c r="F15" s="12">
        <f>IF(ISNUMBER(E15) = TRUE, E15*10^E$20*1000/E$21, "N/A")</f>
        <v>4000000</v>
      </c>
      <c r="H15" s="11" t="s">
        <v>18</v>
      </c>
      <c r="I15" s="2">
        <v>25</v>
      </c>
      <c r="J15" s="12">
        <f>IF(ISNUMBER(I15) = TRUE, I15*10^I$20*1000/I$21, "N/A")</f>
        <v>5000000</v>
      </c>
      <c r="K15" s="2">
        <v>3</v>
      </c>
      <c r="L15" s="12">
        <f>IF(ISNUMBER(K15) = TRUE, K15*10^K$20*1000/K$21, "N/A")</f>
        <v>6000000</v>
      </c>
      <c r="N15" s="11" t="s">
        <v>18</v>
      </c>
      <c r="O15" s="2">
        <v>18</v>
      </c>
      <c r="P15" s="12">
        <f>IF(ISNUMBER(O15) = TRUE, O15*10^O$20*1000/O$21, "N/A")</f>
        <v>3600000</v>
      </c>
      <c r="Q15" s="2">
        <v>1</v>
      </c>
      <c r="R15" s="12">
        <f>IF(ISNUMBER(Q15) = TRUE, Q15*10^Q$20*1000/Q$21, "N/A")</f>
        <v>2000000</v>
      </c>
    </row>
    <row r="16" spans="2:18" x14ac:dyDescent="0.4">
      <c r="B16" s="11" t="s">
        <v>19</v>
      </c>
      <c r="C16" s="2">
        <v>24</v>
      </c>
      <c r="D16" s="12">
        <f>IF(ISNUMBER(C16) = TRUE, C16*10^C$20*1000/C$21, "N/A")</f>
        <v>4800000</v>
      </c>
      <c r="E16" s="2">
        <v>1</v>
      </c>
      <c r="F16" s="12">
        <f>IF(ISNUMBER(E16) = TRUE, E16*10^E$20*1000/E$21, "N/A")</f>
        <v>2000000</v>
      </c>
      <c r="H16" s="11" t="s">
        <v>19</v>
      </c>
      <c r="I16" s="2">
        <v>28</v>
      </c>
      <c r="J16" s="12">
        <f>IF(ISNUMBER(I16) = TRUE, I16*10^I$20*1000/I$21, "N/A")</f>
        <v>5600000</v>
      </c>
      <c r="K16" s="2">
        <v>1</v>
      </c>
      <c r="L16" s="12">
        <f>IF(ISNUMBER(K16) = TRUE, K16*10^K$20*1000/K$21, "N/A")</f>
        <v>2000000</v>
      </c>
      <c r="N16" s="11" t="s">
        <v>19</v>
      </c>
      <c r="O16" s="2">
        <v>17</v>
      </c>
      <c r="P16" s="12">
        <f>IF(ISNUMBER(O16) = TRUE, O16*10^O$20*1000/O$21, "N/A")</f>
        <v>3400000</v>
      </c>
      <c r="Q16" s="2">
        <v>2</v>
      </c>
      <c r="R16" s="12">
        <f>IF(ISNUMBER(Q16) = TRUE, Q16*10^Q$20*1000/Q$21, "N/A")</f>
        <v>4000000</v>
      </c>
    </row>
    <row r="17" spans="2:18" x14ac:dyDescent="0.4">
      <c r="B17" s="11" t="s">
        <v>20</v>
      </c>
      <c r="C17" s="2">
        <v>23</v>
      </c>
      <c r="D17" s="12">
        <f>IF(ISNUMBER(C17) = TRUE, C17*10^C$20*1000/C$21, "N/A")</f>
        <v>4600000</v>
      </c>
      <c r="E17" s="2">
        <v>3</v>
      </c>
      <c r="F17" s="12">
        <f>IF(ISNUMBER(E17) = TRUE, E17*10^E$20*1000/E$21, "N/A")</f>
        <v>6000000</v>
      </c>
      <c r="H17" s="11" t="s">
        <v>20</v>
      </c>
      <c r="I17" s="2">
        <v>23</v>
      </c>
      <c r="J17" s="12">
        <f>IF(ISNUMBER(I17) = TRUE, I17*10^I$20*1000/I$21, "N/A")</f>
        <v>4600000</v>
      </c>
      <c r="K17" s="2">
        <v>2</v>
      </c>
      <c r="L17" s="12">
        <f>IF(ISNUMBER(K17) = TRUE, K17*10^K$20*1000/K$21, "N/A")</f>
        <v>4000000</v>
      </c>
      <c r="N17" s="11" t="s">
        <v>20</v>
      </c>
      <c r="O17" s="2">
        <v>23</v>
      </c>
      <c r="P17" s="12">
        <f>IF(ISNUMBER(O17) = TRUE, O17*10^O$20*1000/O$21, "N/A")</f>
        <v>4600000</v>
      </c>
      <c r="Q17" s="2">
        <v>3</v>
      </c>
      <c r="R17" s="12">
        <f>IF(ISNUMBER(Q17) = TRUE, Q17*10^Q$20*1000/Q$21, "N/A")</f>
        <v>6000000</v>
      </c>
    </row>
    <row r="18" spans="2:18" x14ac:dyDescent="0.4">
      <c r="B18" s="11" t="s">
        <v>21</v>
      </c>
      <c r="C18" s="2">
        <v>28</v>
      </c>
      <c r="D18" s="12">
        <f>IF(ISNUMBER(C18) = TRUE, C18*10^C$20*1000/C$21, "N/A")</f>
        <v>5600000</v>
      </c>
      <c r="E18" s="2">
        <v>2</v>
      </c>
      <c r="F18" s="12">
        <f>IF(ISNUMBER(E18) = TRUE, E18*10^E$20*1000/E$21, "N/A")</f>
        <v>4000000</v>
      </c>
      <c r="H18" s="11" t="s">
        <v>21</v>
      </c>
      <c r="I18" s="2">
        <v>19</v>
      </c>
      <c r="J18" s="12">
        <f>IF(ISNUMBER(I18) = TRUE, I18*10^I$20*1000/I$21, "N/A")</f>
        <v>3800000</v>
      </c>
      <c r="K18" s="2">
        <v>2</v>
      </c>
      <c r="L18" s="12">
        <f>IF(ISNUMBER(K18) = TRUE, K18*10^K$20*1000/K$21, "N/A")</f>
        <v>4000000</v>
      </c>
      <c r="N18" s="11" t="s">
        <v>21</v>
      </c>
      <c r="O18" s="2">
        <v>22</v>
      </c>
      <c r="P18" s="12">
        <f>IF(ISNUMBER(O18) = TRUE, O18*10^O$20*1000/O$21, "N/A")</f>
        <v>4400000</v>
      </c>
      <c r="Q18" s="2">
        <v>1</v>
      </c>
      <c r="R18" s="12">
        <f>IF(ISNUMBER(Q18) = TRUE, Q18*10^Q$20*1000/Q$21, "N/A")</f>
        <v>2000000</v>
      </c>
    </row>
    <row r="19" spans="2:18" x14ac:dyDescent="0.4">
      <c r="B19" s="13" t="s">
        <v>22</v>
      </c>
      <c r="C19" s="14">
        <v>26</v>
      </c>
      <c r="D19" s="12">
        <f>IF(ISNUMBER(C19) = TRUE, C19*10^C$20*1000/C$21, "N/A")</f>
        <v>5200000</v>
      </c>
      <c r="E19" s="14">
        <v>3</v>
      </c>
      <c r="F19" s="12">
        <f>IF(ISNUMBER(E19) = TRUE, E19*10^E$20*1000/E$21, "N/A")</f>
        <v>6000000</v>
      </c>
      <c r="H19" s="13" t="s">
        <v>22</v>
      </c>
      <c r="I19" s="14">
        <v>23</v>
      </c>
      <c r="J19" s="12">
        <f>IF(ISNUMBER(I19) = TRUE, I19*10^I$20*1000/I$21, "N/A")</f>
        <v>4600000</v>
      </c>
      <c r="K19" s="14">
        <v>2</v>
      </c>
      <c r="L19" s="12">
        <f>IF(ISNUMBER(K19) = TRUE, K19*10^K$20*1000/K$21, "N/A")</f>
        <v>4000000</v>
      </c>
      <c r="N19" s="13" t="s">
        <v>22</v>
      </c>
      <c r="O19" s="14">
        <v>19</v>
      </c>
      <c r="P19" s="12">
        <f>IF(ISNUMBER(O19) = TRUE, O19*10^O$20*1000/O$21, "N/A")</f>
        <v>3800000</v>
      </c>
      <c r="Q19" s="14">
        <v>2</v>
      </c>
      <c r="R19" s="12">
        <f>IF(ISNUMBER(Q19) = TRUE, Q19*10^Q$20*1000/Q$21, "N/A")</f>
        <v>4000000</v>
      </c>
    </row>
    <row r="20" spans="2:18" x14ac:dyDescent="0.4">
      <c r="B20" s="15" t="s">
        <v>13</v>
      </c>
      <c r="C20" s="16">
        <v>3</v>
      </c>
      <c r="D20" s="17"/>
      <c r="E20" s="16">
        <v>4</v>
      </c>
      <c r="F20" s="17"/>
      <c r="H20" s="15" t="s">
        <v>13</v>
      </c>
      <c r="I20" s="16">
        <v>3</v>
      </c>
      <c r="J20" s="17"/>
      <c r="K20" s="16">
        <v>4</v>
      </c>
      <c r="L20" s="17"/>
      <c r="N20" s="15" t="s">
        <v>13</v>
      </c>
      <c r="O20" s="16">
        <v>3</v>
      </c>
      <c r="P20" s="17"/>
      <c r="Q20" s="16">
        <v>4</v>
      </c>
      <c r="R20" s="17"/>
    </row>
    <row r="21" spans="2:18" x14ac:dyDescent="0.4">
      <c r="B21" s="13" t="s">
        <v>14</v>
      </c>
      <c r="C21" s="18">
        <v>5</v>
      </c>
      <c r="D21" s="19"/>
      <c r="E21" s="18">
        <v>5</v>
      </c>
      <c r="F21" s="19"/>
      <c r="H21" s="13" t="s">
        <v>14</v>
      </c>
      <c r="I21" s="18">
        <v>5</v>
      </c>
      <c r="J21" s="19"/>
      <c r="K21" s="18">
        <v>5</v>
      </c>
      <c r="L21" s="19"/>
      <c r="N21" s="13" t="s">
        <v>14</v>
      </c>
      <c r="O21" s="18">
        <v>5</v>
      </c>
      <c r="P21" s="19"/>
      <c r="Q21" s="18">
        <v>5</v>
      </c>
      <c r="R21" s="19"/>
    </row>
    <row r="22" spans="2:18" x14ac:dyDescent="0.4">
      <c r="B22" s="11" t="s">
        <v>8</v>
      </c>
      <c r="C22" s="2">
        <f>IF(ISBLANK(E15) = FALSE, (_xlfn.STDEV.P(D15:D19)^2+_xlfn.STDEV.P(F15:F19)^2)^(1/2), _xlfn.STDEV.P(D15:D19))</f>
        <v>1541946.8213917105</v>
      </c>
      <c r="D22" s="20" t="s">
        <v>4</v>
      </c>
      <c r="E22" s="21">
        <v>1.6666666699999999E-2</v>
      </c>
      <c r="F22" s="22"/>
      <c r="H22" s="11" t="s">
        <v>8</v>
      </c>
      <c r="I22" s="2">
        <f>IF(ISBLANK(K15) = FALSE, (_xlfn.STDEV.P(J15:J19)^2+_xlfn.STDEV.P(L15:L19)^2)^(1/2), _xlfn.STDEV.P(J15:J19))</f>
        <v>1394847.6619330153</v>
      </c>
      <c r="J22" s="20" t="s">
        <v>4</v>
      </c>
      <c r="K22" s="21">
        <v>1.6666666699999999E-2</v>
      </c>
      <c r="L22" s="22"/>
      <c r="N22" s="11" t="s">
        <v>8</v>
      </c>
      <c r="O22" s="2">
        <f>IF(ISBLANK(Q15) = FALSE, (_xlfn.STDEV.P(P15:P19)^2+_xlfn.STDEV.P(R15:R19)^2)^(1/2), _xlfn.STDEV.P(P15:P19))</f>
        <v>1566652.482205291</v>
      </c>
      <c r="P22" s="20" t="s">
        <v>4</v>
      </c>
      <c r="Q22" s="21">
        <v>1.6666666699999999E-2</v>
      </c>
      <c r="R22" s="22"/>
    </row>
    <row r="23" spans="2:18" x14ac:dyDescent="0.4">
      <c r="B23" s="11" t="s">
        <v>12</v>
      </c>
      <c r="C23" s="2">
        <f>IF(ISNUMBER(E15) = TRUE, (AVERAGE(D15:D19)+AVERAGE(F15:F19))/2, AVERAGE(D15:D19))</f>
        <v>4760000</v>
      </c>
      <c r="D23" s="20" t="s">
        <v>16</v>
      </c>
      <c r="E23" s="23">
        <f>E$12+E22/24</f>
        <v>0.35486111111250002</v>
      </c>
      <c r="F23" s="24"/>
      <c r="H23" s="11" t="s">
        <v>12</v>
      </c>
      <c r="I23" s="2">
        <f>IF(ISNUMBER(K15) = TRUE, (AVERAGE(J15:J19)+AVERAGE(L15:L19))/2, AVERAGE(J15:J19))</f>
        <v>4360000</v>
      </c>
      <c r="J23" s="20" t="s">
        <v>16</v>
      </c>
      <c r="K23" s="23">
        <f>K$12+K22/24</f>
        <v>0.35486111111250002</v>
      </c>
      <c r="L23" s="24"/>
      <c r="N23" s="11" t="s">
        <v>12</v>
      </c>
      <c r="O23" s="2">
        <f>IF(ISNUMBER(Q15) = TRUE, (AVERAGE(P15:P19)+AVERAGE(R15:R19))/2, AVERAGE(P15:P19))</f>
        <v>3780000</v>
      </c>
      <c r="P23" s="20" t="s">
        <v>16</v>
      </c>
      <c r="Q23" s="23">
        <f>Q$12+Q22/24</f>
        <v>0.35486111111250002</v>
      </c>
      <c r="R23" s="24"/>
    </row>
    <row r="24" spans="2:18" ht="14.25" thickBot="1" x14ac:dyDescent="0.45">
      <c r="B24" s="25" t="s">
        <v>15</v>
      </c>
      <c r="C24" s="26">
        <f>IF(ISNUMBER(C12) = FALSE, C13, C13-0.1)</f>
        <v>4.9000000000000004</v>
      </c>
      <c r="D24" s="27" t="s">
        <v>17</v>
      </c>
      <c r="E24" s="28">
        <f>C23*C24</f>
        <v>23324000</v>
      </c>
      <c r="F24" s="29"/>
      <c r="H24" s="25" t="s">
        <v>15</v>
      </c>
      <c r="I24" s="26">
        <f>IF(ISNUMBER(I12) = FALSE, I13, I13-0.1)</f>
        <v>4.9000000000000004</v>
      </c>
      <c r="J24" s="27" t="s">
        <v>17</v>
      </c>
      <c r="K24" s="28">
        <f>I23*I24</f>
        <v>21364000</v>
      </c>
      <c r="L24" s="29"/>
      <c r="N24" s="25" t="s">
        <v>15</v>
      </c>
      <c r="O24" s="26">
        <f>IF(ISNUMBER(O12) = FALSE, O13, O13-0.1)</f>
        <v>4.9000000000000004</v>
      </c>
      <c r="P24" s="27" t="s">
        <v>17</v>
      </c>
      <c r="Q24" s="28">
        <f>O23*O24</f>
        <v>18522000</v>
      </c>
      <c r="R24" s="29"/>
    </row>
    <row r="25" spans="2:18" x14ac:dyDescent="0.4">
      <c r="B25" s="8">
        <v>3</v>
      </c>
      <c r="C25" s="9" t="s">
        <v>10</v>
      </c>
      <c r="D25" s="10" t="s">
        <v>11</v>
      </c>
      <c r="E25" s="9" t="s">
        <v>10</v>
      </c>
      <c r="F25" s="10" t="s">
        <v>11</v>
      </c>
      <c r="H25" s="8">
        <v>3</v>
      </c>
      <c r="I25" s="9" t="s">
        <v>10</v>
      </c>
      <c r="J25" s="10" t="s">
        <v>11</v>
      </c>
      <c r="K25" s="9" t="s">
        <v>10</v>
      </c>
      <c r="L25" s="10" t="s">
        <v>11</v>
      </c>
      <c r="N25" s="8">
        <v>3</v>
      </c>
      <c r="O25" s="9" t="s">
        <v>10</v>
      </c>
      <c r="P25" s="10" t="s">
        <v>11</v>
      </c>
      <c r="Q25" s="9" t="s">
        <v>10</v>
      </c>
      <c r="R25" s="10" t="s">
        <v>11</v>
      </c>
    </row>
    <row r="26" spans="2:18" x14ac:dyDescent="0.4">
      <c r="B26" s="11" t="s">
        <v>18</v>
      </c>
      <c r="C26" s="2">
        <v>17</v>
      </c>
      <c r="D26" s="12">
        <f>IF(ISNUMBER(C26) = TRUE, C26*10^C$31*1000/C$32, "N/A")</f>
        <v>3400000</v>
      </c>
      <c r="E26" s="2">
        <v>2</v>
      </c>
      <c r="F26" s="12">
        <f>IF(ISNUMBER(E26) = TRUE, E26*10^E$31*1000/E$32, "N/A")</f>
        <v>4000000</v>
      </c>
      <c r="H26" s="11" t="s">
        <v>18</v>
      </c>
      <c r="I26" s="2">
        <v>15</v>
      </c>
      <c r="J26" s="12">
        <f>IF(ISNUMBER(I26) = TRUE, I26*10^I$31*1000/I$32, "N/A")</f>
        <v>3000000</v>
      </c>
      <c r="K26" s="2">
        <v>2</v>
      </c>
      <c r="L26" s="12">
        <f>IF(ISNUMBER(K26) = TRUE, K26*10^K$31*1000/K$32, "N/A")</f>
        <v>4000000</v>
      </c>
      <c r="N26" s="11" t="s">
        <v>18</v>
      </c>
      <c r="O26" s="2">
        <v>13</v>
      </c>
      <c r="P26" s="12">
        <f>IF(ISNUMBER(O26) = TRUE, O26*10^O$31*1000/O$32, "N/A")</f>
        <v>2600000</v>
      </c>
      <c r="Q26" s="2"/>
      <c r="R26" s="12" t="str">
        <f>IF(ISNUMBER(Q26) = TRUE, Q26*10^Q$31*1000/Q$32, "N/A")</f>
        <v>N/A</v>
      </c>
    </row>
    <row r="27" spans="2:18" x14ac:dyDescent="0.4">
      <c r="B27" s="11" t="s">
        <v>19</v>
      </c>
      <c r="C27" s="2">
        <v>18</v>
      </c>
      <c r="D27" s="12">
        <f>IF(ISNUMBER(C27) = TRUE, C27*10^C$31*1000/C$32, "N/A")</f>
        <v>3600000</v>
      </c>
      <c r="E27" s="2">
        <v>1</v>
      </c>
      <c r="F27" s="12">
        <f>IF(ISNUMBER(E27) = TRUE, E27*10^E$31*1000/E$32, "N/A")</f>
        <v>2000000</v>
      </c>
      <c r="H27" s="11" t="s">
        <v>19</v>
      </c>
      <c r="I27" s="2">
        <v>17</v>
      </c>
      <c r="J27" s="12">
        <f>IF(ISNUMBER(I27) = TRUE, I27*10^I$31*1000/I$32, "N/A")</f>
        <v>3400000</v>
      </c>
      <c r="K27" s="2">
        <v>1</v>
      </c>
      <c r="L27" s="12">
        <f>IF(ISNUMBER(K27) = TRUE, K27*10^K$31*1000/K$32, "N/A")</f>
        <v>2000000</v>
      </c>
      <c r="N27" s="11" t="s">
        <v>19</v>
      </c>
      <c r="O27" s="2">
        <v>15</v>
      </c>
      <c r="P27" s="12">
        <f>IF(ISNUMBER(O27) = TRUE, O27*10^O$31*1000/O$32, "N/A")</f>
        <v>3000000</v>
      </c>
      <c r="Q27" s="2"/>
      <c r="R27" s="12" t="str">
        <f>IF(ISNUMBER(Q27) = TRUE, Q27*10^Q$31*1000/Q$32, "N/A")</f>
        <v>N/A</v>
      </c>
    </row>
    <row r="28" spans="2:18" x14ac:dyDescent="0.4">
      <c r="B28" s="11" t="s">
        <v>20</v>
      </c>
      <c r="C28" s="2">
        <v>17</v>
      </c>
      <c r="D28" s="12">
        <f>IF(ISNUMBER(C28) = TRUE, C28*10^C$31*1000/C$32, "N/A")</f>
        <v>3400000</v>
      </c>
      <c r="E28" s="2">
        <v>2</v>
      </c>
      <c r="F28" s="12">
        <f>IF(ISNUMBER(E28) = TRUE, E28*10^E$31*1000/E$32, "N/A")</f>
        <v>4000000</v>
      </c>
      <c r="H28" s="11" t="s">
        <v>20</v>
      </c>
      <c r="I28" s="2">
        <v>18</v>
      </c>
      <c r="J28" s="12">
        <f>IF(ISNUMBER(I28) = TRUE, I28*10^I$31*1000/I$32, "N/A")</f>
        <v>3600000</v>
      </c>
      <c r="K28" s="2">
        <v>1</v>
      </c>
      <c r="L28" s="12">
        <f>IF(ISNUMBER(K28) = TRUE, K28*10^K$31*1000/K$32, "N/A")</f>
        <v>2000000</v>
      </c>
      <c r="N28" s="11" t="s">
        <v>20</v>
      </c>
      <c r="O28" s="2">
        <v>15</v>
      </c>
      <c r="P28" s="12">
        <f>IF(ISNUMBER(O28) = TRUE, O28*10^O$31*1000/O$32, "N/A")</f>
        <v>3000000</v>
      </c>
      <c r="Q28" s="2"/>
      <c r="R28" s="12" t="str">
        <f>IF(ISNUMBER(Q28) = TRUE, Q28*10^Q$31*1000/Q$32, "N/A")</f>
        <v>N/A</v>
      </c>
    </row>
    <row r="29" spans="2:18" x14ac:dyDescent="0.4">
      <c r="B29" s="11" t="s">
        <v>21</v>
      </c>
      <c r="C29" s="2">
        <v>14</v>
      </c>
      <c r="D29" s="12">
        <f>IF(ISNUMBER(C29) = TRUE, C29*10^C$31*1000/C$32, "N/A")</f>
        <v>2800000</v>
      </c>
      <c r="E29" s="2">
        <v>3</v>
      </c>
      <c r="F29" s="12">
        <f>IF(ISNUMBER(E29) = TRUE, E29*10^E$31*1000/E$32, "N/A")</f>
        <v>6000000</v>
      </c>
      <c r="H29" s="11" t="s">
        <v>21</v>
      </c>
      <c r="I29" s="2">
        <v>14</v>
      </c>
      <c r="J29" s="12">
        <f>IF(ISNUMBER(I29) = TRUE, I29*10^I$31*1000/I$32, "N/A")</f>
        <v>2800000</v>
      </c>
      <c r="K29" s="2">
        <v>3</v>
      </c>
      <c r="L29" s="12">
        <f>IF(ISNUMBER(K29) = TRUE, K29*10^K$31*1000/K$32, "N/A")</f>
        <v>6000000</v>
      </c>
      <c r="N29" s="11" t="s">
        <v>21</v>
      </c>
      <c r="O29" s="2">
        <v>17</v>
      </c>
      <c r="P29" s="12">
        <f>IF(ISNUMBER(O29) = TRUE, O29*10^O$31*1000/O$32, "N/A")</f>
        <v>3400000</v>
      </c>
      <c r="Q29" s="2"/>
      <c r="R29" s="12" t="str">
        <f>IF(ISNUMBER(Q29) = TRUE, Q29*10^Q$31*1000/Q$32, "N/A")</f>
        <v>N/A</v>
      </c>
    </row>
    <row r="30" spans="2:18" x14ac:dyDescent="0.4">
      <c r="B30" s="13" t="s">
        <v>22</v>
      </c>
      <c r="C30" s="14">
        <v>19</v>
      </c>
      <c r="D30" s="12">
        <f>IF(ISNUMBER(C30) = TRUE, C30*10^C$31*1000/C$32, "N/A")</f>
        <v>3800000</v>
      </c>
      <c r="E30" s="14">
        <v>1</v>
      </c>
      <c r="F30" s="12">
        <f>IF(ISNUMBER(E30) = TRUE, E30*10^E$31*1000/E$32, "N/A")</f>
        <v>2000000</v>
      </c>
      <c r="H30" s="13" t="s">
        <v>22</v>
      </c>
      <c r="I30" s="14">
        <v>12</v>
      </c>
      <c r="J30" s="12">
        <f>IF(ISNUMBER(I30) = TRUE, I30*10^I$31*1000/I$32, "N/A")</f>
        <v>2400000</v>
      </c>
      <c r="K30" s="14">
        <v>2</v>
      </c>
      <c r="L30" s="12">
        <f>IF(ISNUMBER(K30) = TRUE, K30*10^K$31*1000/K$32, "N/A")</f>
        <v>4000000</v>
      </c>
      <c r="N30" s="13" t="s">
        <v>22</v>
      </c>
      <c r="O30" s="14">
        <v>12</v>
      </c>
      <c r="P30" s="12">
        <f>IF(ISNUMBER(O30) = TRUE, O30*10^O$31*1000/O$32, "N/A")</f>
        <v>2400000</v>
      </c>
      <c r="Q30" s="14"/>
      <c r="R30" s="12" t="str">
        <f>IF(ISNUMBER(Q30) = TRUE, Q30*10^Q$31*1000/Q$32, "N/A")</f>
        <v>N/A</v>
      </c>
    </row>
    <row r="31" spans="2:18" x14ac:dyDescent="0.4">
      <c r="B31" s="15" t="s">
        <v>13</v>
      </c>
      <c r="C31" s="16">
        <v>3</v>
      </c>
      <c r="D31" s="17"/>
      <c r="E31" s="16">
        <v>4</v>
      </c>
      <c r="F31" s="17"/>
      <c r="H31" s="15" t="s">
        <v>13</v>
      </c>
      <c r="I31" s="16">
        <v>3</v>
      </c>
      <c r="J31" s="17"/>
      <c r="K31" s="16">
        <v>4</v>
      </c>
      <c r="L31" s="17"/>
      <c r="N31" s="15" t="s">
        <v>13</v>
      </c>
      <c r="O31" s="16">
        <v>3</v>
      </c>
      <c r="P31" s="17"/>
      <c r="Q31" s="16"/>
      <c r="R31" s="17"/>
    </row>
    <row r="32" spans="2:18" x14ac:dyDescent="0.4">
      <c r="B32" s="13" t="s">
        <v>14</v>
      </c>
      <c r="C32" s="18">
        <v>5</v>
      </c>
      <c r="D32" s="19"/>
      <c r="E32" s="18">
        <v>5</v>
      </c>
      <c r="F32" s="19"/>
      <c r="H32" s="13" t="s">
        <v>14</v>
      </c>
      <c r="I32" s="18">
        <v>5</v>
      </c>
      <c r="J32" s="19"/>
      <c r="K32" s="18">
        <v>5</v>
      </c>
      <c r="L32" s="19"/>
      <c r="N32" s="13" t="s">
        <v>14</v>
      </c>
      <c r="O32" s="18">
        <v>5</v>
      </c>
      <c r="P32" s="19"/>
      <c r="Q32" s="18">
        <v>5</v>
      </c>
      <c r="R32" s="19"/>
    </row>
    <row r="33" spans="2:18" x14ac:dyDescent="0.4">
      <c r="B33" s="11" t="s">
        <v>8</v>
      </c>
      <c r="C33" s="2">
        <f>IF(ISBLANK(E26) = FALSE, (_xlfn.STDEV.P(D26:D30)^2+_xlfn.STDEV.P(F26:F30)^2)^(1/2), _xlfn.STDEV.P(D26:D30))</f>
        <v>1533623.1610144649</v>
      </c>
      <c r="D33" s="20" t="s">
        <v>4</v>
      </c>
      <c r="E33" s="21">
        <v>0.25</v>
      </c>
      <c r="F33" s="22"/>
      <c r="H33" s="11" t="s">
        <v>8</v>
      </c>
      <c r="I33" s="2">
        <f>IF(ISBLANK(K26) = FALSE, (_xlfn.STDEV.P(J26:J30)^2+_xlfn.STDEV.P(L26:L30)^2)^(1/2), _xlfn.STDEV.P(J26:J30))</f>
        <v>1556406.1166674974</v>
      </c>
      <c r="J33" s="20" t="s">
        <v>4</v>
      </c>
      <c r="K33" s="21">
        <v>0.25</v>
      </c>
      <c r="L33" s="22"/>
      <c r="N33" s="11" t="s">
        <v>8</v>
      </c>
      <c r="O33" s="2">
        <f>IF(ISBLANK(Q26) = FALSE, (_xlfn.STDEV.P(P26:P30)^2+_xlfn.STDEV.P(R26:R30)^2)^(1/2), _xlfn.STDEV.P(P26:P30))</f>
        <v>348711.91548325389</v>
      </c>
      <c r="P33" s="20" t="s">
        <v>4</v>
      </c>
      <c r="Q33" s="21">
        <v>0.25</v>
      </c>
      <c r="R33" s="22"/>
    </row>
    <row r="34" spans="2:18" x14ac:dyDescent="0.4">
      <c r="B34" s="11" t="s">
        <v>12</v>
      </c>
      <c r="C34" s="2">
        <f>IF(ISBLANK(E26) = FALSE, (AVERAGE(D26:D30)+AVERAGE(F26:F30))/2, AVERAGE(D26:D30))</f>
        <v>3500000</v>
      </c>
      <c r="D34" s="20" t="s">
        <v>16</v>
      </c>
      <c r="E34" s="23">
        <f>E$12+E33/24</f>
        <v>0.36458333333333337</v>
      </c>
      <c r="F34" s="24"/>
      <c r="H34" s="11" t="s">
        <v>12</v>
      </c>
      <c r="I34" s="2">
        <f>IF(ISBLANK(K26) = FALSE, (AVERAGE(J26:J30)+AVERAGE(L26:L30))/2, AVERAGE(J26:J30))</f>
        <v>3320000</v>
      </c>
      <c r="J34" s="20" t="s">
        <v>16</v>
      </c>
      <c r="K34" s="23">
        <f>K$12+K33/24</f>
        <v>0.36458333333333337</v>
      </c>
      <c r="L34" s="24"/>
      <c r="N34" s="11" t="s">
        <v>12</v>
      </c>
      <c r="O34" s="2">
        <f>IF(ISBLANK(Q26) = FALSE, (AVERAGE(P26:P30)+AVERAGE(R26:R30))/2, AVERAGE(P26:P30))</f>
        <v>2880000</v>
      </c>
      <c r="P34" s="20" t="s">
        <v>16</v>
      </c>
      <c r="Q34" s="23">
        <f>Q$12+Q33/24</f>
        <v>0.36458333333333337</v>
      </c>
      <c r="R34" s="24"/>
    </row>
    <row r="35" spans="2:18" ht="14.25" thickBot="1" x14ac:dyDescent="0.45">
      <c r="B35" s="25" t="s">
        <v>15</v>
      </c>
      <c r="C35" s="26">
        <f>IF(ISNUMBER(C23) = FALSE, C24, C24-0.1)</f>
        <v>4.8000000000000007</v>
      </c>
      <c r="D35" s="27" t="s">
        <v>17</v>
      </c>
      <c r="E35" s="28">
        <f>C34*C35</f>
        <v>16800000.000000004</v>
      </c>
      <c r="F35" s="29"/>
      <c r="H35" s="25" t="s">
        <v>15</v>
      </c>
      <c r="I35" s="26">
        <f>IF(ISNUMBER(I23) = FALSE, I24, I24-0.1)</f>
        <v>4.8000000000000007</v>
      </c>
      <c r="J35" s="27" t="s">
        <v>17</v>
      </c>
      <c r="K35" s="28">
        <f>I34*I35</f>
        <v>15936000.000000002</v>
      </c>
      <c r="L35" s="29"/>
      <c r="N35" s="25" t="s">
        <v>15</v>
      </c>
      <c r="O35" s="26">
        <f>IF(ISNUMBER(O23) = FALSE, O24, O24-0.1)</f>
        <v>4.8000000000000007</v>
      </c>
      <c r="P35" s="27" t="s">
        <v>17</v>
      </c>
      <c r="Q35" s="28">
        <f>O34*O35</f>
        <v>13824000.000000002</v>
      </c>
      <c r="R35" s="29"/>
    </row>
    <row r="36" spans="2:18" x14ac:dyDescent="0.4">
      <c r="B36" s="8">
        <v>4</v>
      </c>
      <c r="C36" s="9" t="s">
        <v>10</v>
      </c>
      <c r="D36" s="10" t="s">
        <v>11</v>
      </c>
      <c r="E36" s="9" t="s">
        <v>10</v>
      </c>
      <c r="F36" s="10" t="s">
        <v>11</v>
      </c>
      <c r="H36" s="8">
        <v>4</v>
      </c>
      <c r="I36" s="9" t="s">
        <v>10</v>
      </c>
      <c r="J36" s="10" t="s">
        <v>11</v>
      </c>
      <c r="K36" s="9" t="s">
        <v>10</v>
      </c>
      <c r="L36" s="10" t="s">
        <v>11</v>
      </c>
      <c r="N36" s="8">
        <v>4</v>
      </c>
      <c r="O36" s="9" t="s">
        <v>10</v>
      </c>
      <c r="P36" s="10" t="s">
        <v>11</v>
      </c>
      <c r="Q36" s="9" t="s">
        <v>10</v>
      </c>
      <c r="R36" s="10" t="s">
        <v>11</v>
      </c>
    </row>
    <row r="37" spans="2:18" x14ac:dyDescent="0.4">
      <c r="B37" s="11" t="s">
        <v>18</v>
      </c>
      <c r="C37" s="2">
        <v>27</v>
      </c>
      <c r="D37" s="12">
        <f>IF(ISNUMBER(C37) = TRUE, C37*10^C$31*1000/C$32, "N/A")</f>
        <v>5400000</v>
      </c>
      <c r="E37" s="2">
        <v>2</v>
      </c>
      <c r="F37" s="12">
        <f>IF(ISNUMBER(E37) = TRUE, E37*10^E$31*1000/E$32, "N/A")</f>
        <v>4000000</v>
      </c>
      <c r="H37" s="11" t="s">
        <v>18</v>
      </c>
      <c r="I37" s="2">
        <v>29</v>
      </c>
      <c r="J37" s="12">
        <f>IF(ISNUMBER(I37) = TRUE, I37*10^I$31*1000/I$32, "N/A")</f>
        <v>5800000</v>
      </c>
      <c r="K37" s="2">
        <v>2</v>
      </c>
      <c r="L37" s="12">
        <f>IF(ISNUMBER(K37) = TRUE, K37*10^K$31*1000/K$32, "N/A")</f>
        <v>4000000</v>
      </c>
      <c r="N37" s="11" t="s">
        <v>18</v>
      </c>
      <c r="O37" s="2">
        <v>19</v>
      </c>
      <c r="P37" s="12">
        <f>IF(ISNUMBER(O37) = TRUE, O37*10^O$31*1000/O$32, "N/A")</f>
        <v>3800000</v>
      </c>
      <c r="Q37" s="2"/>
      <c r="R37" s="12" t="str">
        <f>IF(ISNUMBER(Q37) = TRUE, Q37*10^Q$42*1000/Q$43, "N/A")</f>
        <v>N/A</v>
      </c>
    </row>
    <row r="38" spans="2:18" x14ac:dyDescent="0.4">
      <c r="B38" s="11" t="s">
        <v>19</v>
      </c>
      <c r="C38" s="2">
        <v>24</v>
      </c>
      <c r="D38" s="12">
        <f>IF(ISNUMBER(C38) = TRUE, C38*10^C$31*1000/C$32, "N/A")</f>
        <v>4800000</v>
      </c>
      <c r="E38" s="2">
        <v>1</v>
      </c>
      <c r="F38" s="12">
        <f>IF(ISNUMBER(E38) = TRUE, E38*10^E$31*1000/E$32, "N/A")</f>
        <v>2000000</v>
      </c>
      <c r="H38" s="11" t="s">
        <v>19</v>
      </c>
      <c r="I38" s="2">
        <v>24</v>
      </c>
      <c r="J38" s="12">
        <f>IF(ISNUMBER(I38) = TRUE, I38*10^I$31*1000/I$32, "N/A")</f>
        <v>4800000</v>
      </c>
      <c r="K38" s="2">
        <v>1</v>
      </c>
      <c r="L38" s="12">
        <f>IF(ISNUMBER(K38) = TRUE, K38*10^K$31*1000/K$32, "N/A")</f>
        <v>2000000</v>
      </c>
      <c r="N38" s="11" t="s">
        <v>19</v>
      </c>
      <c r="O38" s="2">
        <v>17</v>
      </c>
      <c r="P38" s="12">
        <f>IF(ISNUMBER(O38) = TRUE, O38*10^O$31*1000/O$32, "N/A")</f>
        <v>3400000</v>
      </c>
      <c r="Q38" s="2"/>
      <c r="R38" s="12" t="str">
        <f t="shared" ref="R38:R41" si="0">IF(ISNUMBER(Q38) = TRUE, Q38*10^Q$42*1000/Q$43, "N/A")</f>
        <v>N/A</v>
      </c>
    </row>
    <row r="39" spans="2:18" x14ac:dyDescent="0.4">
      <c r="B39" s="11" t="s">
        <v>20</v>
      </c>
      <c r="C39" s="2">
        <v>21</v>
      </c>
      <c r="D39" s="12">
        <f>IF(ISNUMBER(C39) = TRUE, C39*10^C$31*1000/C$32, "N/A")</f>
        <v>4200000</v>
      </c>
      <c r="E39" s="2">
        <v>2</v>
      </c>
      <c r="F39" s="12">
        <f>IF(ISNUMBER(E39) = TRUE, E39*10^E$31*1000/E$32, "N/A")</f>
        <v>4000000</v>
      </c>
      <c r="H39" s="11" t="s">
        <v>20</v>
      </c>
      <c r="I39" s="2">
        <v>31</v>
      </c>
      <c r="J39" s="12">
        <f>IF(ISNUMBER(I39) = TRUE, I39*10^I$31*1000/I$32, "N/A")</f>
        <v>6200000</v>
      </c>
      <c r="K39" s="2">
        <v>2</v>
      </c>
      <c r="L39" s="12">
        <f>IF(ISNUMBER(K39) = TRUE, K39*10^K$31*1000/K$32, "N/A")</f>
        <v>4000000</v>
      </c>
      <c r="N39" s="11" t="s">
        <v>20</v>
      </c>
      <c r="O39" s="2">
        <v>17</v>
      </c>
      <c r="P39" s="12">
        <f>IF(ISNUMBER(O39) = TRUE, O39*10^O$31*1000/O$32, "N/A")</f>
        <v>3400000</v>
      </c>
      <c r="Q39" s="2"/>
      <c r="R39" s="12" t="str">
        <f t="shared" si="0"/>
        <v>N/A</v>
      </c>
    </row>
    <row r="40" spans="2:18" x14ac:dyDescent="0.4">
      <c r="B40" s="11" t="s">
        <v>21</v>
      </c>
      <c r="C40" s="2">
        <v>25</v>
      </c>
      <c r="D40" s="12">
        <f>IF(ISNUMBER(C40) = TRUE, C40*10^C$31*1000/C$32, "N/A")</f>
        <v>5000000</v>
      </c>
      <c r="E40" s="2">
        <v>2</v>
      </c>
      <c r="F40" s="12">
        <f>IF(ISNUMBER(E40) = TRUE, E40*10^E$31*1000/E$32, "N/A")</f>
        <v>4000000</v>
      </c>
      <c r="H40" s="11" t="s">
        <v>21</v>
      </c>
      <c r="I40" s="2">
        <v>23</v>
      </c>
      <c r="J40" s="12">
        <f>IF(ISNUMBER(I40) = TRUE, I40*10^I$31*1000/I$32, "N/A")</f>
        <v>4600000</v>
      </c>
      <c r="K40" s="2">
        <v>2</v>
      </c>
      <c r="L40" s="12">
        <f>IF(ISNUMBER(K40) = TRUE, K40*10^K$31*1000/K$32, "N/A")</f>
        <v>4000000</v>
      </c>
      <c r="N40" s="11" t="s">
        <v>21</v>
      </c>
      <c r="O40" s="2">
        <v>13</v>
      </c>
      <c r="P40" s="12">
        <f>IF(ISNUMBER(O40) = TRUE, O40*10^O$31*1000/O$32, "N/A")</f>
        <v>2600000</v>
      </c>
      <c r="Q40" s="2"/>
      <c r="R40" s="12" t="str">
        <f t="shared" si="0"/>
        <v>N/A</v>
      </c>
    </row>
    <row r="41" spans="2:18" x14ac:dyDescent="0.4">
      <c r="B41" s="13" t="s">
        <v>22</v>
      </c>
      <c r="C41" s="14">
        <v>19</v>
      </c>
      <c r="D41" s="12">
        <f>IF(ISNUMBER(C41) = TRUE, C41*10^C$31*1000/C$32, "N/A")</f>
        <v>3800000</v>
      </c>
      <c r="E41" s="14">
        <v>3</v>
      </c>
      <c r="F41" s="12">
        <f>IF(ISNUMBER(E41) = TRUE, E41*10^E$31*1000/E$32, "N/A")</f>
        <v>6000000</v>
      </c>
      <c r="H41" s="13" t="s">
        <v>22</v>
      </c>
      <c r="I41" s="14">
        <v>24</v>
      </c>
      <c r="J41" s="12">
        <f>IF(ISNUMBER(I41) = TRUE, I41*10^I$31*1000/I$32, "N/A")</f>
        <v>4800000</v>
      </c>
      <c r="K41" s="14">
        <v>2</v>
      </c>
      <c r="L41" s="12">
        <f>IF(ISNUMBER(K41) = TRUE, K41*10^K$31*1000/K$32, "N/A")</f>
        <v>4000000</v>
      </c>
      <c r="N41" s="13" t="s">
        <v>22</v>
      </c>
      <c r="O41" s="14">
        <v>12</v>
      </c>
      <c r="P41" s="12">
        <f>IF(ISNUMBER(O41) = TRUE, O41*10^O$31*1000/O$32, "N/A")</f>
        <v>2400000</v>
      </c>
      <c r="Q41" s="14"/>
      <c r="R41" s="12" t="str">
        <f t="shared" si="0"/>
        <v>N/A</v>
      </c>
    </row>
    <row r="42" spans="2:18" x14ac:dyDescent="0.4">
      <c r="B42" s="15" t="s">
        <v>13</v>
      </c>
      <c r="C42" s="16">
        <v>3</v>
      </c>
      <c r="D42" s="17"/>
      <c r="E42" s="16">
        <v>4</v>
      </c>
      <c r="F42" s="17"/>
      <c r="H42" s="15" t="s">
        <v>13</v>
      </c>
      <c r="I42" s="16">
        <v>3</v>
      </c>
      <c r="J42" s="17"/>
      <c r="K42" s="16">
        <v>4</v>
      </c>
      <c r="L42" s="17"/>
      <c r="N42" s="15" t="s">
        <v>13</v>
      </c>
      <c r="O42" s="16">
        <v>3</v>
      </c>
      <c r="P42" s="17"/>
      <c r="Q42" s="16">
        <v>4</v>
      </c>
      <c r="R42" s="17"/>
    </row>
    <row r="43" spans="2:18" x14ac:dyDescent="0.4">
      <c r="B43" s="13" t="s">
        <v>14</v>
      </c>
      <c r="C43" s="18">
        <v>5</v>
      </c>
      <c r="D43" s="19"/>
      <c r="E43" s="18">
        <v>5</v>
      </c>
      <c r="F43" s="19"/>
      <c r="H43" s="13" t="s">
        <v>14</v>
      </c>
      <c r="I43" s="18">
        <v>5</v>
      </c>
      <c r="J43" s="19"/>
      <c r="K43" s="18">
        <v>5</v>
      </c>
      <c r="L43" s="19"/>
      <c r="N43" s="13" t="s">
        <v>14</v>
      </c>
      <c r="O43" s="18">
        <v>5</v>
      </c>
      <c r="P43" s="19"/>
      <c r="Q43" s="18">
        <v>5</v>
      </c>
      <c r="R43" s="19"/>
    </row>
    <row r="44" spans="2:18" x14ac:dyDescent="0.4">
      <c r="B44" s="11" t="s">
        <v>8</v>
      </c>
      <c r="C44" s="2">
        <f>IF(ISBLANK(E37) = FALSE, (_xlfn.STDEV.P(D37:D41)^2+_xlfn.STDEV.P(F37:F41)^2)^(1/2), _xlfn.STDEV.P(D37:D41))</f>
        <v>1387948.1258317977</v>
      </c>
      <c r="D44" s="20" t="s">
        <v>4</v>
      </c>
      <c r="E44" s="21">
        <v>0.5</v>
      </c>
      <c r="F44" s="22"/>
      <c r="H44" s="11" t="s">
        <v>8</v>
      </c>
      <c r="I44" s="2">
        <f>IF(ISBLANK(K37) = FALSE, (_xlfn.STDEV.P(J37:J41)^2+_xlfn.STDEV.P(L37:L41)^2)^(1/2), _xlfn.STDEV.P(J37:J41))</f>
        <v>1022936.9482035538</v>
      </c>
      <c r="J44" s="20" t="s">
        <v>4</v>
      </c>
      <c r="K44" s="21">
        <v>0.5</v>
      </c>
      <c r="L44" s="22"/>
      <c r="N44" s="11" t="s">
        <v>8</v>
      </c>
      <c r="O44" s="2">
        <f>IF(ISBLANK(Q37) = FALSE, (_xlfn.STDEV.P(P37:P41)^2+_xlfn.STDEV.P(R37:R41)^2)^(1/2), _xlfn.STDEV.P(P37:P41))</f>
        <v>530659.96645686403</v>
      </c>
      <c r="P44" s="20" t="s">
        <v>4</v>
      </c>
      <c r="Q44" s="21">
        <v>0.5</v>
      </c>
      <c r="R44" s="22"/>
    </row>
    <row r="45" spans="2:18" x14ac:dyDescent="0.4">
      <c r="B45" s="11" t="s">
        <v>12</v>
      </c>
      <c r="C45" s="2">
        <f>IF(ISBLANK(E37) = FALSE, (AVERAGE(D37:D41)+AVERAGE(F37:F41))/2, AVERAGE(D37:D41))</f>
        <v>4320000</v>
      </c>
      <c r="D45" s="20" t="s">
        <v>16</v>
      </c>
      <c r="E45" s="23">
        <f>E$12+E44/24</f>
        <v>0.375</v>
      </c>
      <c r="F45" s="24"/>
      <c r="H45" s="11" t="s">
        <v>12</v>
      </c>
      <c r="I45" s="2">
        <f>IF(ISBLANK(K37) = FALSE, (AVERAGE(J37:J41)+AVERAGE(L37:L41))/2, AVERAGE(J37:J41))</f>
        <v>4420000</v>
      </c>
      <c r="J45" s="20" t="s">
        <v>16</v>
      </c>
      <c r="K45" s="23">
        <f>K$12+K44/24</f>
        <v>0.375</v>
      </c>
      <c r="L45" s="24"/>
      <c r="N45" s="11" t="s">
        <v>12</v>
      </c>
      <c r="O45" s="2">
        <f>IF(ISBLANK(Q37) = FALSE, (AVERAGE(P37:P41)+AVERAGE(R37:R41))/2, AVERAGE(P37:P41))</f>
        <v>3120000</v>
      </c>
      <c r="P45" s="20" t="s">
        <v>16</v>
      </c>
      <c r="Q45" s="23">
        <f>Q$12+Q44/24</f>
        <v>0.375</v>
      </c>
      <c r="R45" s="24"/>
    </row>
    <row r="46" spans="2:18" ht="14.25" thickBot="1" x14ac:dyDescent="0.45">
      <c r="B46" s="25" t="s">
        <v>15</v>
      </c>
      <c r="C46" s="26">
        <f>IF(ISNUMBER(C34) = FALSE, C35, C35-0.1)</f>
        <v>4.7000000000000011</v>
      </c>
      <c r="D46" s="27" t="s">
        <v>17</v>
      </c>
      <c r="E46" s="28">
        <f>C45*C46</f>
        <v>20304000.000000004</v>
      </c>
      <c r="F46" s="29"/>
      <c r="H46" s="25" t="s">
        <v>15</v>
      </c>
      <c r="I46" s="26">
        <f>IF(ISNUMBER(I34) = FALSE, I35, I35-0.1)</f>
        <v>4.7000000000000011</v>
      </c>
      <c r="J46" s="27" t="s">
        <v>17</v>
      </c>
      <c r="K46" s="28">
        <f>I45*I46</f>
        <v>20774000.000000004</v>
      </c>
      <c r="L46" s="29"/>
      <c r="N46" s="25" t="s">
        <v>15</v>
      </c>
      <c r="O46" s="26">
        <f>IF(ISNUMBER(O34) = FALSE, O35, O35-0.1)</f>
        <v>4.7000000000000011</v>
      </c>
      <c r="P46" s="27" t="s">
        <v>17</v>
      </c>
      <c r="Q46" s="28">
        <f>O45*O46</f>
        <v>14664000.000000004</v>
      </c>
      <c r="R46" s="29"/>
    </row>
    <row r="47" spans="2:18" x14ac:dyDescent="0.4">
      <c r="B47" s="8">
        <v>5</v>
      </c>
      <c r="C47" s="9" t="s">
        <v>10</v>
      </c>
      <c r="D47" s="10" t="s">
        <v>11</v>
      </c>
      <c r="E47" s="9" t="s">
        <v>10</v>
      </c>
      <c r="F47" s="10" t="s">
        <v>11</v>
      </c>
      <c r="H47" s="8">
        <v>5</v>
      </c>
      <c r="I47" s="9" t="s">
        <v>10</v>
      </c>
      <c r="J47" s="10" t="s">
        <v>11</v>
      </c>
      <c r="K47" s="9" t="s">
        <v>10</v>
      </c>
      <c r="L47" s="10" t="s">
        <v>11</v>
      </c>
      <c r="N47" s="8">
        <v>5</v>
      </c>
      <c r="O47" s="9" t="s">
        <v>10</v>
      </c>
      <c r="P47" s="10" t="s">
        <v>11</v>
      </c>
      <c r="Q47" s="9" t="s">
        <v>10</v>
      </c>
      <c r="R47" s="10" t="s">
        <v>11</v>
      </c>
    </row>
    <row r="48" spans="2:18" x14ac:dyDescent="0.4">
      <c r="B48" s="11" t="s">
        <v>18</v>
      </c>
      <c r="C48" s="2">
        <v>30</v>
      </c>
      <c r="D48" s="12">
        <f>IF(ISNUMBER(C48) = TRUE, C48*10^C$53*1000/C$54, "N/A")</f>
        <v>6000000</v>
      </c>
      <c r="E48" s="2">
        <v>2</v>
      </c>
      <c r="F48" s="12">
        <f>IF(ISNUMBER(E48) = TRUE, E48*10^E$53*1000/E$54, "N/A")</f>
        <v>4000000</v>
      </c>
      <c r="H48" s="11" t="s">
        <v>18</v>
      </c>
      <c r="I48" s="2">
        <v>15</v>
      </c>
      <c r="J48" s="12">
        <f>IF(ISNUMBER(I48) = TRUE, I48*10^I$53*1000/I$54, "N/A")</f>
        <v>3000000</v>
      </c>
      <c r="K48" s="2"/>
      <c r="L48" s="12" t="str">
        <f>IF(ISNUMBER(K48) = TRUE, K48*10^K$53*1000/K$54, "N/A")</f>
        <v>N/A</v>
      </c>
      <c r="N48" s="11" t="s">
        <v>18</v>
      </c>
      <c r="O48" s="2">
        <v>14</v>
      </c>
      <c r="P48" s="12">
        <f>IF(ISNUMBER(O48) = TRUE, O48*10^O$53*1000/O$54, "N/A")</f>
        <v>2800000</v>
      </c>
      <c r="Q48" s="2"/>
      <c r="R48" s="12" t="str">
        <f>IF(ISNUMBER(Q48) = TRUE, Q48*10^Q$53*1000/Q$54, "N/A")</f>
        <v>N/A</v>
      </c>
    </row>
    <row r="49" spans="2:18" x14ac:dyDescent="0.4">
      <c r="B49" s="11" t="s">
        <v>19</v>
      </c>
      <c r="C49" s="2">
        <v>36</v>
      </c>
      <c r="D49" s="12">
        <f>IF(ISNUMBER(C49) = TRUE, C49*10^C$53*1000/C$54, "N/A")</f>
        <v>7200000</v>
      </c>
      <c r="E49" s="2">
        <v>3</v>
      </c>
      <c r="F49" s="12">
        <f>IF(ISNUMBER(E49) = TRUE, E49*10^E$53*1000/E$54, "N/A")</f>
        <v>6000000</v>
      </c>
      <c r="H49" s="11" t="s">
        <v>19</v>
      </c>
      <c r="I49" s="2">
        <v>12</v>
      </c>
      <c r="J49" s="12">
        <f>IF(ISNUMBER(I49) = TRUE, I49*10^I$53*1000/I$54, "N/A")</f>
        <v>2400000</v>
      </c>
      <c r="K49" s="2"/>
      <c r="L49" s="12" t="str">
        <f>IF(ISNUMBER(K49) = TRUE, K49*10^K$53*1000/K$54, "N/A")</f>
        <v>N/A</v>
      </c>
      <c r="N49" s="11" t="s">
        <v>19</v>
      </c>
      <c r="O49" s="2">
        <v>17</v>
      </c>
      <c r="P49" s="12">
        <f>IF(ISNUMBER(O49) = TRUE, O49*10^O$53*1000/O$54, "N/A")</f>
        <v>3400000</v>
      </c>
      <c r="Q49" s="2"/>
      <c r="R49" s="12" t="str">
        <f>IF(ISNUMBER(Q49) = TRUE, Q49*10^Q$53*1000/Q$54, "N/A")</f>
        <v>N/A</v>
      </c>
    </row>
    <row r="50" spans="2:18" x14ac:dyDescent="0.4">
      <c r="B50" s="11" t="s">
        <v>20</v>
      </c>
      <c r="C50" s="2">
        <v>29</v>
      </c>
      <c r="D50" s="12">
        <f>IF(ISNUMBER(C50) = TRUE, C50*10^C$53*1000/C$54, "N/A")</f>
        <v>5800000</v>
      </c>
      <c r="E50" s="2">
        <v>3</v>
      </c>
      <c r="F50" s="12">
        <f>IF(ISNUMBER(E50) = TRUE, E50*10^E$53*1000/E$54, "N/A")</f>
        <v>6000000</v>
      </c>
      <c r="H50" s="11" t="s">
        <v>20</v>
      </c>
      <c r="I50" s="2">
        <v>13</v>
      </c>
      <c r="J50" s="12">
        <f>IF(ISNUMBER(I50) = TRUE, I50*10^I$53*1000/I$54, "N/A")</f>
        <v>2600000</v>
      </c>
      <c r="K50" s="2"/>
      <c r="L50" s="12" t="str">
        <f>IF(ISNUMBER(K50) = TRUE, K50*10^K$53*1000/K$54, "N/A")</f>
        <v>N/A</v>
      </c>
      <c r="N50" s="11" t="s">
        <v>20</v>
      </c>
      <c r="O50" s="2">
        <v>20</v>
      </c>
      <c r="P50" s="12">
        <f>IF(ISNUMBER(O50) = TRUE, O50*10^O$53*1000/O$54, "N/A")</f>
        <v>4000000</v>
      </c>
      <c r="Q50" s="2"/>
      <c r="R50" s="12" t="str">
        <f>IF(ISNUMBER(Q50) = TRUE, Q50*10^Q$53*1000/Q$54, "N/A")</f>
        <v>N/A</v>
      </c>
    </row>
    <row r="51" spans="2:18" x14ac:dyDescent="0.4">
      <c r="B51" s="11" t="s">
        <v>21</v>
      </c>
      <c r="C51" s="2">
        <v>26</v>
      </c>
      <c r="D51" s="12">
        <f>IF(ISNUMBER(C51) = TRUE, C51*10^C$53*1000/C$54, "N/A")</f>
        <v>5200000</v>
      </c>
      <c r="E51" s="2">
        <v>4</v>
      </c>
      <c r="F51" s="12">
        <f>IF(ISNUMBER(E51) = TRUE, E51*10^E$53*1000/E$54, "N/A")</f>
        <v>8000000</v>
      </c>
      <c r="H51" s="11" t="s">
        <v>21</v>
      </c>
      <c r="I51" s="2">
        <v>16</v>
      </c>
      <c r="J51" s="12">
        <f>IF(ISNUMBER(I51) = TRUE, I51*10^I$53*1000/I$54, "N/A")</f>
        <v>3200000</v>
      </c>
      <c r="K51" s="2"/>
      <c r="L51" s="12" t="str">
        <f>IF(ISNUMBER(K51) = TRUE, K51*10^K$53*1000/K$54, "N/A")</f>
        <v>N/A</v>
      </c>
      <c r="N51" s="11" t="s">
        <v>21</v>
      </c>
      <c r="O51" s="2">
        <v>12</v>
      </c>
      <c r="P51" s="12">
        <f>IF(ISNUMBER(O51) = TRUE, O51*10^O$53*1000/O$54, "N/A")</f>
        <v>2400000</v>
      </c>
      <c r="Q51" s="2"/>
      <c r="R51" s="12" t="str">
        <f>IF(ISNUMBER(Q51) = TRUE, Q51*10^Q$53*1000/Q$54, "N/A")</f>
        <v>N/A</v>
      </c>
    </row>
    <row r="52" spans="2:18" x14ac:dyDescent="0.4">
      <c r="B52" s="13" t="s">
        <v>22</v>
      </c>
      <c r="C52" s="14">
        <v>28</v>
      </c>
      <c r="D52" s="12">
        <f>IF(ISNUMBER(C52) = TRUE, C52*10^C$53*1000/C$54, "N/A")</f>
        <v>5600000</v>
      </c>
      <c r="E52" s="14">
        <v>3</v>
      </c>
      <c r="F52" s="12">
        <f>IF(ISNUMBER(E52) = TRUE, E52*10^E$53*1000/E$54, "N/A")</f>
        <v>6000000</v>
      </c>
      <c r="H52" s="13" t="s">
        <v>22</v>
      </c>
      <c r="I52" s="14">
        <v>18</v>
      </c>
      <c r="J52" s="12">
        <f>IF(ISNUMBER(I52) = TRUE, I52*10^I$53*1000/I$54, "N/A")</f>
        <v>3600000</v>
      </c>
      <c r="K52" s="14"/>
      <c r="L52" s="12" t="str">
        <f>IF(ISNUMBER(K52) = TRUE, K52*10^K$53*1000/K$54, "N/A")</f>
        <v>N/A</v>
      </c>
      <c r="N52" s="13" t="s">
        <v>22</v>
      </c>
      <c r="O52" s="14">
        <v>16</v>
      </c>
      <c r="P52" s="12">
        <f>IF(ISNUMBER(O52) = TRUE, O52*10^O$53*1000/O$54, "N/A")</f>
        <v>3200000</v>
      </c>
      <c r="Q52" s="14"/>
      <c r="R52" s="12" t="str">
        <f>IF(ISNUMBER(Q52) = TRUE, Q52*10^Q$53*1000/Q$54, "N/A")</f>
        <v>N/A</v>
      </c>
    </row>
    <row r="53" spans="2:18" x14ac:dyDescent="0.4">
      <c r="B53" s="15" t="s">
        <v>13</v>
      </c>
      <c r="C53" s="16">
        <v>3</v>
      </c>
      <c r="D53" s="17"/>
      <c r="E53" s="16">
        <v>4</v>
      </c>
      <c r="F53" s="17"/>
      <c r="H53" s="15" t="s">
        <v>13</v>
      </c>
      <c r="I53" s="16">
        <v>3</v>
      </c>
      <c r="J53" s="17"/>
      <c r="K53" s="16"/>
      <c r="L53" s="17"/>
      <c r="N53" s="15" t="s">
        <v>13</v>
      </c>
      <c r="O53" s="16">
        <v>3</v>
      </c>
      <c r="P53" s="17"/>
      <c r="Q53" s="16"/>
      <c r="R53" s="17"/>
    </row>
    <row r="54" spans="2:18" x14ac:dyDescent="0.4">
      <c r="B54" s="13" t="s">
        <v>14</v>
      </c>
      <c r="C54" s="18">
        <v>5</v>
      </c>
      <c r="D54" s="19"/>
      <c r="E54" s="18">
        <v>5</v>
      </c>
      <c r="F54" s="19"/>
      <c r="H54" s="13" t="s">
        <v>14</v>
      </c>
      <c r="I54" s="18">
        <v>5</v>
      </c>
      <c r="J54" s="19"/>
      <c r="K54" s="18">
        <v>5</v>
      </c>
      <c r="L54" s="19"/>
      <c r="N54" s="13" t="s">
        <v>14</v>
      </c>
      <c r="O54" s="18">
        <v>5</v>
      </c>
      <c r="P54" s="19"/>
      <c r="Q54" s="18">
        <v>5</v>
      </c>
      <c r="R54" s="19"/>
    </row>
    <row r="55" spans="2:18" x14ac:dyDescent="0.4">
      <c r="B55" s="11" t="s">
        <v>8</v>
      </c>
      <c r="C55" s="2">
        <f>IF(ISBLANK(E48) = FALSE, (_xlfn.STDEV.P(D48:D52)^2+_xlfn.STDEV.P(F48:F52)^2)^(1/2), _xlfn.STDEV.P(D48:D52))</f>
        <v>1433317.8293735133</v>
      </c>
      <c r="D55" s="20" t="s">
        <v>4</v>
      </c>
      <c r="E55" s="21">
        <v>1</v>
      </c>
      <c r="F55" s="22"/>
      <c r="H55" s="11" t="s">
        <v>8</v>
      </c>
      <c r="I55" s="2">
        <f>IF(ISBLANK(K48) = FALSE, (_xlfn.STDEV.P(J48:J52)^2+_xlfn.STDEV.P(L48:L52)^2)^(1/2), _xlfn.STDEV.P(J48:J52))</f>
        <v>427083.13008125243</v>
      </c>
      <c r="J55" s="20" t="s">
        <v>4</v>
      </c>
      <c r="K55" s="21">
        <v>1</v>
      </c>
      <c r="L55" s="22"/>
      <c r="N55" s="11" t="s">
        <v>8</v>
      </c>
      <c r="O55" s="2">
        <f>IF(ISBLANK(Q48) = FALSE, (_xlfn.STDEV.P(P48:P52)^2+_xlfn.STDEV.P(R48:R52)^2)^(1/2), _xlfn.STDEV.P(P48:P52))</f>
        <v>542586.39865002141</v>
      </c>
      <c r="P55" s="20" t="s">
        <v>4</v>
      </c>
      <c r="Q55" s="21">
        <v>1</v>
      </c>
      <c r="R55" s="22"/>
    </row>
    <row r="56" spans="2:18" x14ac:dyDescent="0.4">
      <c r="B56" s="11" t="s">
        <v>12</v>
      </c>
      <c r="C56" s="2">
        <f>IF(ISBLANK(E48) = FALSE, (AVERAGE(D48:D52)+AVERAGE(F48:F52))/2, AVERAGE(D48:D52))</f>
        <v>5980000</v>
      </c>
      <c r="D56" s="20" t="s">
        <v>16</v>
      </c>
      <c r="E56" s="23">
        <f>E$12+E55/24</f>
        <v>0.39583333333333337</v>
      </c>
      <c r="F56" s="24"/>
      <c r="H56" s="11" t="s">
        <v>12</v>
      </c>
      <c r="I56" s="2">
        <f>IF(ISBLANK(K48) = FALSE, (AVERAGE(J48:J52)+AVERAGE(L48:L52))/2, AVERAGE(J48:J52))</f>
        <v>2960000</v>
      </c>
      <c r="J56" s="20" t="s">
        <v>16</v>
      </c>
      <c r="K56" s="23">
        <f>K$12+K55/24</f>
        <v>0.39583333333333337</v>
      </c>
      <c r="L56" s="24"/>
      <c r="N56" s="11" t="s">
        <v>12</v>
      </c>
      <c r="O56" s="2">
        <f>IF(ISBLANK(Q48) = FALSE, (AVERAGE(P48:P52)+AVERAGE(R48:R52))/2, AVERAGE(P48:P52))</f>
        <v>3160000</v>
      </c>
      <c r="P56" s="20" t="s">
        <v>16</v>
      </c>
      <c r="Q56" s="23">
        <f>Q$12+Q55/24</f>
        <v>0.39583333333333337</v>
      </c>
      <c r="R56" s="24"/>
    </row>
    <row r="57" spans="2:18" ht="14.25" thickBot="1" x14ac:dyDescent="0.45">
      <c r="B57" s="25" t="s">
        <v>15</v>
      </c>
      <c r="C57" s="26">
        <f>IF(ISNUMBER(C45) = FALSE, C46, C46-0.1)</f>
        <v>4.6000000000000014</v>
      </c>
      <c r="D57" s="27" t="s">
        <v>17</v>
      </c>
      <c r="E57" s="28">
        <f>C56*C57</f>
        <v>27508000.000000007</v>
      </c>
      <c r="F57" s="29"/>
      <c r="H57" s="25" t="s">
        <v>15</v>
      </c>
      <c r="I57" s="26">
        <f>IF(ISNUMBER(I45) = FALSE, I46, I46-0.1)</f>
        <v>4.6000000000000014</v>
      </c>
      <c r="J57" s="27" t="s">
        <v>17</v>
      </c>
      <c r="K57" s="28">
        <f>I56*I57</f>
        <v>13616000.000000004</v>
      </c>
      <c r="L57" s="29"/>
      <c r="N57" s="25" t="s">
        <v>15</v>
      </c>
      <c r="O57" s="26">
        <f>IF(ISNUMBER(O45) = FALSE, O46, O46-0.1)</f>
        <v>4.6000000000000014</v>
      </c>
      <c r="P57" s="27" t="s">
        <v>17</v>
      </c>
      <c r="Q57" s="28">
        <f>O56*O57</f>
        <v>14536000.000000004</v>
      </c>
      <c r="R57" s="29"/>
    </row>
    <row r="58" spans="2:18" x14ac:dyDescent="0.4">
      <c r="B58" s="8">
        <v>6</v>
      </c>
      <c r="C58" s="9" t="s">
        <v>10</v>
      </c>
      <c r="D58" s="10" t="s">
        <v>11</v>
      </c>
      <c r="E58" s="9" t="s">
        <v>10</v>
      </c>
      <c r="F58" s="10" t="s">
        <v>11</v>
      </c>
      <c r="H58" s="8">
        <v>6</v>
      </c>
      <c r="I58" s="9" t="s">
        <v>10</v>
      </c>
      <c r="J58" s="10" t="s">
        <v>11</v>
      </c>
      <c r="K58" s="9" t="s">
        <v>10</v>
      </c>
      <c r="L58" s="10" t="s">
        <v>11</v>
      </c>
      <c r="N58" s="8">
        <v>6</v>
      </c>
      <c r="O58" s="9" t="s">
        <v>10</v>
      </c>
      <c r="P58" s="10" t="s">
        <v>11</v>
      </c>
      <c r="Q58" s="9" t="s">
        <v>10</v>
      </c>
      <c r="R58" s="10" t="s">
        <v>11</v>
      </c>
    </row>
    <row r="59" spans="2:18" x14ac:dyDescent="0.4">
      <c r="B59" s="11" t="s">
        <v>18</v>
      </c>
      <c r="C59" s="2">
        <v>31</v>
      </c>
      <c r="D59" s="12">
        <f>IF(ISNUMBER(C59) = TRUE, C59*10^C$64*1000/C$65, "N/A")</f>
        <v>6200000</v>
      </c>
      <c r="E59" s="2">
        <v>3</v>
      </c>
      <c r="F59" s="12">
        <f>IF(ISNUMBER(E59) = TRUE, E59*10^E$64*1000/E$65, "N/A")</f>
        <v>6000000</v>
      </c>
      <c r="H59" s="11" t="s">
        <v>18</v>
      </c>
      <c r="I59" s="2">
        <v>25</v>
      </c>
      <c r="J59" s="12">
        <f>IF(ISNUMBER(I59) = TRUE, I59*10^I$64*1000/I$65, "N/A")</f>
        <v>5000000</v>
      </c>
      <c r="K59" s="2">
        <v>3</v>
      </c>
      <c r="L59" s="12">
        <f>IF(ISNUMBER(K59) = TRUE, K59*10^K$64*1000/K$65, "N/A")</f>
        <v>6000000</v>
      </c>
      <c r="N59" s="11" t="s">
        <v>18</v>
      </c>
      <c r="O59" s="2">
        <v>19</v>
      </c>
      <c r="P59" s="12">
        <f>IF(ISNUMBER(O59) = TRUE, O59*10^O$64*1000/O$65, "N/A")</f>
        <v>3800000</v>
      </c>
      <c r="Q59" s="2"/>
      <c r="R59" s="12" t="str">
        <f>IF(ISNUMBER(Q59) = TRUE, Q59*10^Q$64*1000/Q$65, "N/A")</f>
        <v>N/A</v>
      </c>
    </row>
    <row r="60" spans="2:18" x14ac:dyDescent="0.4">
      <c r="B60" s="11" t="s">
        <v>19</v>
      </c>
      <c r="C60" s="2">
        <v>30</v>
      </c>
      <c r="D60" s="12">
        <f>IF(ISNUMBER(C60) = TRUE, C60*10^C$64*1000/C$65, "N/A")</f>
        <v>6000000</v>
      </c>
      <c r="E60" s="2">
        <v>4</v>
      </c>
      <c r="F60" s="12">
        <f>IF(ISNUMBER(E60) = TRUE, E60*10^E$64*1000/E$65, "N/A")</f>
        <v>8000000</v>
      </c>
      <c r="H60" s="11" t="s">
        <v>19</v>
      </c>
      <c r="I60" s="2">
        <v>23</v>
      </c>
      <c r="J60" s="12">
        <f>IF(ISNUMBER(I60) = TRUE, I60*10^I$64*1000/I$65, "N/A")</f>
        <v>4600000</v>
      </c>
      <c r="K60" s="2">
        <v>2</v>
      </c>
      <c r="L60" s="12">
        <f>IF(ISNUMBER(K60) = TRUE, K60*10^K$64*1000/K$65, "N/A")</f>
        <v>4000000</v>
      </c>
      <c r="N60" s="11" t="s">
        <v>19</v>
      </c>
      <c r="O60" s="2">
        <v>16</v>
      </c>
      <c r="P60" s="12">
        <f>IF(ISNUMBER(O60) = TRUE, O60*10^O$64*1000/O$65, "N/A")</f>
        <v>3200000</v>
      </c>
      <c r="Q60" s="2"/>
      <c r="R60" s="12" t="str">
        <f>IF(ISNUMBER(Q60) = TRUE, Q60*10^Q$64*1000/Q$65, "N/A")</f>
        <v>N/A</v>
      </c>
    </row>
    <row r="61" spans="2:18" x14ac:dyDescent="0.4">
      <c r="B61" s="11" t="s">
        <v>20</v>
      </c>
      <c r="C61" s="3">
        <v>42</v>
      </c>
      <c r="D61" s="12">
        <f>IF(ISNUMBER(C61) = TRUE, C61*10^C$64*1000/C$65, "N/A")</f>
        <v>8400000</v>
      </c>
      <c r="E61" s="2">
        <v>4</v>
      </c>
      <c r="F61" s="12">
        <f>IF(ISNUMBER(E61) = TRUE, E61*10^E$64*1000/E$65, "N/A")</f>
        <v>8000000</v>
      </c>
      <c r="H61" s="11" t="s">
        <v>20</v>
      </c>
      <c r="I61" s="3">
        <v>19</v>
      </c>
      <c r="J61" s="12">
        <f>IF(ISNUMBER(I61) = TRUE, I61*10^I$64*1000/I$65, "N/A")</f>
        <v>3800000</v>
      </c>
      <c r="K61" s="2">
        <v>2</v>
      </c>
      <c r="L61" s="12">
        <f>IF(ISNUMBER(K61) = TRUE, K61*10^K$64*1000/K$65, "N/A")</f>
        <v>4000000</v>
      </c>
      <c r="N61" s="11" t="s">
        <v>20</v>
      </c>
      <c r="O61" s="3">
        <v>20</v>
      </c>
      <c r="P61" s="12">
        <f>IF(ISNUMBER(O61) = TRUE, O61*10^O$64*1000/O$65, "N/A")</f>
        <v>4000000</v>
      </c>
      <c r="Q61" s="2"/>
      <c r="R61" s="12" t="str">
        <f>IF(ISNUMBER(Q61) = TRUE, Q61*10^Q$64*1000/Q$65, "N/A")</f>
        <v>N/A</v>
      </c>
    </row>
    <row r="62" spans="2:18" x14ac:dyDescent="0.4">
      <c r="B62" s="11" t="s">
        <v>21</v>
      </c>
      <c r="C62" s="2">
        <v>51</v>
      </c>
      <c r="D62" s="12">
        <f>IF(ISNUMBER(C62) = TRUE, C62*10^C$64*1000/C$65, "N/A")</f>
        <v>10200000</v>
      </c>
      <c r="E62" s="2">
        <v>4</v>
      </c>
      <c r="F62" s="12">
        <f>IF(ISNUMBER(E62) = TRUE, E62*10^E$64*1000/E$65, "N/A")</f>
        <v>8000000</v>
      </c>
      <c r="H62" s="11" t="s">
        <v>21</v>
      </c>
      <c r="I62" s="2">
        <v>18</v>
      </c>
      <c r="J62" s="12">
        <f>IF(ISNUMBER(I62) = TRUE, I62*10^I$64*1000/I$65, "N/A")</f>
        <v>3600000</v>
      </c>
      <c r="K62" s="2">
        <v>3</v>
      </c>
      <c r="L62" s="12">
        <f>IF(ISNUMBER(K62) = TRUE, K62*10^K$64*1000/K$65, "N/A")</f>
        <v>6000000</v>
      </c>
      <c r="N62" s="11" t="s">
        <v>21</v>
      </c>
      <c r="O62" s="2">
        <v>22</v>
      </c>
      <c r="P62" s="12">
        <f>IF(ISNUMBER(O62) = TRUE, O62*10^O$64*1000/O$65, "N/A")</f>
        <v>4400000</v>
      </c>
      <c r="Q62" s="2"/>
      <c r="R62" s="12" t="str">
        <f>IF(ISNUMBER(Q62) = TRUE, Q62*10^Q$64*1000/Q$65, "N/A")</f>
        <v>N/A</v>
      </c>
    </row>
    <row r="63" spans="2:18" x14ac:dyDescent="0.4">
      <c r="B63" s="13" t="s">
        <v>22</v>
      </c>
      <c r="C63" s="14">
        <v>34</v>
      </c>
      <c r="D63" s="12">
        <f>IF(ISNUMBER(C63) = TRUE, C63*10^C$64*1000/C$65, "N/A")</f>
        <v>6800000</v>
      </c>
      <c r="E63" s="14">
        <v>3</v>
      </c>
      <c r="F63" s="12">
        <f>IF(ISNUMBER(E63) = TRUE, E63*10^E$64*1000/E$65, "N/A")</f>
        <v>6000000</v>
      </c>
      <c r="H63" s="13" t="s">
        <v>22</v>
      </c>
      <c r="I63" s="14">
        <v>24</v>
      </c>
      <c r="J63" s="12">
        <f>IF(ISNUMBER(I63) = TRUE, I63*10^I$64*1000/I$65, "N/A")</f>
        <v>4800000</v>
      </c>
      <c r="K63" s="14">
        <v>2</v>
      </c>
      <c r="L63" s="12">
        <f>IF(ISNUMBER(K63) = TRUE, K63*10^K$64*1000/K$65, "N/A")</f>
        <v>4000000</v>
      </c>
      <c r="N63" s="13" t="s">
        <v>22</v>
      </c>
      <c r="O63" s="14">
        <v>15</v>
      </c>
      <c r="P63" s="12">
        <f>IF(ISNUMBER(O63) = TRUE, O63*10^O$64*1000/O$65, "N/A")</f>
        <v>3000000</v>
      </c>
      <c r="Q63" s="14"/>
      <c r="R63" s="12" t="str">
        <f>IF(ISNUMBER(Q63) = TRUE, Q63*10^Q$64*1000/Q$65, "N/A")</f>
        <v>N/A</v>
      </c>
    </row>
    <row r="64" spans="2:18" x14ac:dyDescent="0.4">
      <c r="B64" s="15" t="s">
        <v>13</v>
      </c>
      <c r="C64" s="16">
        <v>3</v>
      </c>
      <c r="D64" s="17"/>
      <c r="E64" s="30">
        <v>4</v>
      </c>
      <c r="F64" s="17"/>
      <c r="H64" s="15" t="s">
        <v>13</v>
      </c>
      <c r="I64" s="16">
        <v>3</v>
      </c>
      <c r="J64" s="17"/>
      <c r="K64" s="30">
        <v>4</v>
      </c>
      <c r="L64" s="17"/>
      <c r="N64" s="15" t="s">
        <v>13</v>
      </c>
      <c r="O64" s="16">
        <v>3</v>
      </c>
      <c r="P64" s="17"/>
      <c r="Q64" s="30"/>
      <c r="R64" s="17"/>
    </row>
    <row r="65" spans="2:18" x14ac:dyDescent="0.4">
      <c r="B65" s="13" t="s">
        <v>14</v>
      </c>
      <c r="C65" s="18">
        <v>5</v>
      </c>
      <c r="D65" s="19"/>
      <c r="E65" s="31">
        <v>5</v>
      </c>
      <c r="F65" s="19"/>
      <c r="H65" s="13" t="s">
        <v>14</v>
      </c>
      <c r="I65" s="18">
        <v>5</v>
      </c>
      <c r="J65" s="19"/>
      <c r="K65" s="31">
        <v>5</v>
      </c>
      <c r="L65" s="19"/>
      <c r="N65" s="13" t="s">
        <v>14</v>
      </c>
      <c r="O65" s="18">
        <v>5</v>
      </c>
      <c r="P65" s="19"/>
      <c r="Q65" s="31">
        <v>5</v>
      </c>
      <c r="R65" s="19"/>
    </row>
    <row r="66" spans="2:18" x14ac:dyDescent="0.4">
      <c r="B66" s="11" t="s">
        <v>8</v>
      </c>
      <c r="C66" s="2">
        <f>IF(ISBLANK(E59) = FALSE, (_xlfn.STDEV.P(D59:D63)^2+_xlfn.STDEV.P(F59:F63)^2)^(1/2), _xlfn.STDEV.P(D59:D63))</f>
        <v>1861612.2045152152</v>
      </c>
      <c r="D66" s="20" t="s">
        <v>4</v>
      </c>
      <c r="E66" s="21">
        <v>2</v>
      </c>
      <c r="F66" s="22"/>
      <c r="H66" s="11" t="s">
        <v>8</v>
      </c>
      <c r="I66" s="2">
        <f>IF(ISBLANK(K59) = FALSE, (_xlfn.STDEV.P(J59:J63)^2+_xlfn.STDEV.P(L59:L63)^2)^(1/2), _xlfn.STDEV.P(J59:J63))</f>
        <v>1127120.2242884296</v>
      </c>
      <c r="J66" s="20" t="s">
        <v>4</v>
      </c>
      <c r="K66" s="21">
        <v>2</v>
      </c>
      <c r="L66" s="22"/>
      <c r="N66" s="11" t="s">
        <v>8</v>
      </c>
      <c r="O66" s="2">
        <f>IF(ISBLANK(Q59) = FALSE, (_xlfn.STDEV.P(P59:P63)^2+_xlfn.STDEV.P(R59:R63)^2)^(1/2), _xlfn.STDEV.P(P59:P63))</f>
        <v>515363.94906900503</v>
      </c>
      <c r="P66" s="20" t="s">
        <v>4</v>
      </c>
      <c r="Q66" s="21">
        <v>2</v>
      </c>
      <c r="R66" s="22"/>
    </row>
    <row r="67" spans="2:18" x14ac:dyDescent="0.4">
      <c r="B67" s="11" t="s">
        <v>12</v>
      </c>
      <c r="C67" s="2">
        <f>IF(ISBLANK(E59) = FALSE, (AVERAGE(D59:D63)+AVERAGE(F59:F63))/2, AVERAGE(D59:D63))</f>
        <v>7360000</v>
      </c>
      <c r="D67" s="20" t="s">
        <v>16</v>
      </c>
      <c r="E67" s="23">
        <f>E$12+E66/24</f>
        <v>0.4375</v>
      </c>
      <c r="F67" s="24"/>
      <c r="H67" s="11" t="s">
        <v>12</v>
      </c>
      <c r="I67" s="2">
        <f>IF(ISBLANK(K59) = FALSE, (AVERAGE(J59:J63)+AVERAGE(L59:L63))/2, AVERAGE(J59:J63))</f>
        <v>4580000</v>
      </c>
      <c r="J67" s="20" t="s">
        <v>16</v>
      </c>
      <c r="K67" s="23">
        <f>K$12+K66/24</f>
        <v>0.4375</v>
      </c>
      <c r="L67" s="24"/>
      <c r="N67" s="11" t="s">
        <v>12</v>
      </c>
      <c r="O67" s="2">
        <f>IF(ISBLANK(Q59) = FALSE, (AVERAGE(P59:P63)+AVERAGE(R59:R63))/2, AVERAGE(P59:P63))</f>
        <v>3680000</v>
      </c>
      <c r="P67" s="20" t="s">
        <v>16</v>
      </c>
      <c r="Q67" s="23">
        <f>Q$12+Q66/24</f>
        <v>0.4375</v>
      </c>
      <c r="R67" s="24"/>
    </row>
    <row r="68" spans="2:18" ht="14.25" thickBot="1" x14ac:dyDescent="0.45">
      <c r="B68" s="25" t="s">
        <v>15</v>
      </c>
      <c r="C68" s="26">
        <f>IF(ISNUMBER(C56) = FALSE, C57, C57-0.1)</f>
        <v>4.5000000000000018</v>
      </c>
      <c r="D68" s="27" t="s">
        <v>17</v>
      </c>
      <c r="E68" s="28">
        <f>C67*C68</f>
        <v>33120000.000000015</v>
      </c>
      <c r="F68" s="29"/>
      <c r="H68" s="25" t="s">
        <v>15</v>
      </c>
      <c r="I68" s="26">
        <f>IF(ISNUMBER(I56) = FALSE, I57, I57-0.1)</f>
        <v>4.5000000000000018</v>
      </c>
      <c r="J68" s="27" t="s">
        <v>17</v>
      </c>
      <c r="K68" s="28">
        <f>I67*I68</f>
        <v>20610000.000000007</v>
      </c>
      <c r="L68" s="29"/>
      <c r="N68" s="25" t="s">
        <v>15</v>
      </c>
      <c r="O68" s="26">
        <f>IF(ISNUMBER(O56) = FALSE, O57, O57-0.1)</f>
        <v>4.5000000000000018</v>
      </c>
      <c r="P68" s="27" t="s">
        <v>17</v>
      </c>
      <c r="Q68" s="28">
        <f>O67*O68</f>
        <v>16560000.000000007</v>
      </c>
      <c r="R68" s="29"/>
    </row>
    <row r="69" spans="2:18" x14ac:dyDescent="0.4">
      <c r="B69" s="8">
        <v>7</v>
      </c>
      <c r="C69" s="9" t="s">
        <v>10</v>
      </c>
      <c r="D69" s="10" t="s">
        <v>11</v>
      </c>
      <c r="E69" s="9" t="s">
        <v>10</v>
      </c>
      <c r="F69" s="10" t="s">
        <v>11</v>
      </c>
      <c r="H69" s="8">
        <v>7</v>
      </c>
      <c r="I69" s="9" t="s">
        <v>10</v>
      </c>
      <c r="J69" s="10" t="s">
        <v>11</v>
      </c>
      <c r="K69" s="9" t="s">
        <v>10</v>
      </c>
      <c r="L69" s="10" t="s">
        <v>11</v>
      </c>
      <c r="N69" s="8">
        <v>7</v>
      </c>
      <c r="O69" s="9" t="s">
        <v>10</v>
      </c>
      <c r="P69" s="10" t="s">
        <v>11</v>
      </c>
      <c r="Q69" s="9" t="s">
        <v>10</v>
      </c>
      <c r="R69" s="10" t="s">
        <v>11</v>
      </c>
    </row>
    <row r="70" spans="2:18" x14ac:dyDescent="0.4">
      <c r="B70" s="11" t="s">
        <v>18</v>
      </c>
      <c r="C70" s="2">
        <v>35</v>
      </c>
      <c r="D70" s="12">
        <f>IF(ISNUMBER(C70) = TRUE, C70*10^C$75*1000/C$76, "N/A")</f>
        <v>7000000</v>
      </c>
      <c r="E70" s="2"/>
      <c r="F70" s="12" t="str">
        <f>IF(ISNUMBER(E70) = TRUE, E70*10^E$75*1000/E$76, "N/A")</f>
        <v>N/A</v>
      </c>
      <c r="H70" s="11" t="s">
        <v>18</v>
      </c>
      <c r="I70" s="2">
        <v>38</v>
      </c>
      <c r="J70" s="12">
        <f>IF(ISNUMBER(I70) = TRUE, I70*10^I$75*1000/I$76, "N/A")</f>
        <v>7600000</v>
      </c>
      <c r="K70" s="2"/>
      <c r="L70" s="12" t="str">
        <f>IF(ISNUMBER(K70) = TRUE, K70*10^K$75*1000/K$76, "N/A")</f>
        <v>N/A</v>
      </c>
      <c r="N70" s="11" t="s">
        <v>18</v>
      </c>
      <c r="O70" s="2">
        <v>24</v>
      </c>
      <c r="P70" s="12">
        <f>IF(ISNUMBER(O70) = TRUE, O70*10^O$75*1000/O$76, "N/A")</f>
        <v>4800000</v>
      </c>
      <c r="Q70" s="2"/>
      <c r="R70" s="12" t="str">
        <f>IF(ISNUMBER(Q70) = TRUE, Q70*10^Q$75*1000/Q$76, "N/A")</f>
        <v>N/A</v>
      </c>
    </row>
    <row r="71" spans="2:18" x14ac:dyDescent="0.4">
      <c r="B71" s="11" t="s">
        <v>19</v>
      </c>
      <c r="C71" s="2">
        <v>36</v>
      </c>
      <c r="D71" s="12">
        <f>IF(ISNUMBER(C71) = TRUE, C71*10^C$75*1000/C$76, "N/A")</f>
        <v>7200000</v>
      </c>
      <c r="E71" s="2"/>
      <c r="F71" s="12" t="str">
        <f>IF(ISNUMBER(E71) = TRUE, E71*10^E$75*1000/E$76, "N/A")</f>
        <v>N/A</v>
      </c>
      <c r="H71" s="11" t="s">
        <v>19</v>
      </c>
      <c r="I71" s="2">
        <v>38</v>
      </c>
      <c r="J71" s="12">
        <f>IF(ISNUMBER(I71) = TRUE, I71*10^I$75*1000/I$76, "N/A")</f>
        <v>7600000</v>
      </c>
      <c r="K71" s="2"/>
      <c r="L71" s="12" t="str">
        <f>IF(ISNUMBER(K71) = TRUE, K71*10^K$75*1000/K$76, "N/A")</f>
        <v>N/A</v>
      </c>
      <c r="N71" s="11" t="s">
        <v>19</v>
      </c>
      <c r="O71" s="2">
        <v>17</v>
      </c>
      <c r="P71" s="12">
        <f>IF(ISNUMBER(O71) = TRUE, O71*10^O$75*1000/O$76, "N/A")</f>
        <v>3400000</v>
      </c>
      <c r="Q71" s="2"/>
      <c r="R71" s="12" t="str">
        <f>IF(ISNUMBER(Q71) = TRUE, Q71*10^Q$75*1000/Q$76, "N/A")</f>
        <v>N/A</v>
      </c>
    </row>
    <row r="72" spans="2:18" x14ac:dyDescent="0.4">
      <c r="B72" s="11" t="s">
        <v>20</v>
      </c>
      <c r="C72" s="3">
        <v>38</v>
      </c>
      <c r="D72" s="12">
        <f>IF(ISNUMBER(C72) = TRUE, C72*10^C$75*1000/C$76, "N/A")</f>
        <v>7600000</v>
      </c>
      <c r="E72" s="2"/>
      <c r="F72" s="12" t="str">
        <f>IF(ISNUMBER(E72) = TRUE, E72*10^E$75*1000/E$76, "N/A")</f>
        <v>N/A</v>
      </c>
      <c r="H72" s="11" t="s">
        <v>20</v>
      </c>
      <c r="I72" s="3">
        <v>35</v>
      </c>
      <c r="J72" s="12">
        <f>IF(ISNUMBER(I72) = TRUE, I72*10^I$75*1000/I$76, "N/A")</f>
        <v>7000000</v>
      </c>
      <c r="K72" s="2"/>
      <c r="L72" s="12" t="str">
        <f>IF(ISNUMBER(K72) = TRUE, K72*10^K$75*1000/K$76, "N/A")</f>
        <v>N/A</v>
      </c>
      <c r="N72" s="11" t="s">
        <v>20</v>
      </c>
      <c r="O72" s="3">
        <v>15</v>
      </c>
      <c r="P72" s="12">
        <f>IF(ISNUMBER(O72) = TRUE, O72*10^O$75*1000/O$76, "N/A")</f>
        <v>3000000</v>
      </c>
      <c r="Q72" s="2"/>
      <c r="R72" s="12" t="str">
        <f>IF(ISNUMBER(Q72) = TRUE, Q72*10^Q$75*1000/Q$76, "N/A")</f>
        <v>N/A</v>
      </c>
    </row>
    <row r="73" spans="2:18" x14ac:dyDescent="0.4">
      <c r="B73" s="11" t="s">
        <v>21</v>
      </c>
      <c r="C73" s="2">
        <v>29</v>
      </c>
      <c r="D73" s="12">
        <f>IF(ISNUMBER(C73) = TRUE, C73*10^C$75*1000/C$76, "N/A")</f>
        <v>5800000</v>
      </c>
      <c r="E73" s="2"/>
      <c r="F73" s="12" t="str">
        <f>IF(ISNUMBER(E73) = TRUE, E73*10^E$75*1000/E$76, "N/A")</f>
        <v>N/A</v>
      </c>
      <c r="H73" s="11" t="s">
        <v>21</v>
      </c>
      <c r="I73" s="2">
        <v>36</v>
      </c>
      <c r="J73" s="12">
        <f>IF(ISNUMBER(I73) = TRUE, I73*10^I$75*1000/I$76, "N/A")</f>
        <v>7200000</v>
      </c>
      <c r="K73" s="2"/>
      <c r="L73" s="12" t="str">
        <f>IF(ISNUMBER(K73) = TRUE, K73*10^K$75*1000/K$76, "N/A")</f>
        <v>N/A</v>
      </c>
      <c r="N73" s="11" t="s">
        <v>21</v>
      </c>
      <c r="O73" s="2">
        <v>15</v>
      </c>
      <c r="P73" s="12">
        <f>IF(ISNUMBER(O73) = TRUE, O73*10^O$75*1000/O$76, "N/A")</f>
        <v>3000000</v>
      </c>
      <c r="Q73" s="2"/>
      <c r="R73" s="12" t="str">
        <f>IF(ISNUMBER(Q73) = TRUE, Q73*10^Q$75*1000/Q$76, "N/A")</f>
        <v>N/A</v>
      </c>
    </row>
    <row r="74" spans="2:18" x14ac:dyDescent="0.4">
      <c r="B74" s="13" t="s">
        <v>22</v>
      </c>
      <c r="C74" s="14">
        <v>40</v>
      </c>
      <c r="D74" s="12">
        <f>IF(ISNUMBER(C74) = TRUE, C74*10^C$75*1000/C$76, "N/A")</f>
        <v>8000000</v>
      </c>
      <c r="E74" s="14"/>
      <c r="F74" s="12" t="str">
        <f>IF(ISNUMBER(E74) = TRUE, E74*10^E$75*1000/E$76, "N/A")</f>
        <v>N/A</v>
      </c>
      <c r="H74" s="13" t="s">
        <v>22</v>
      </c>
      <c r="I74" s="14">
        <v>30</v>
      </c>
      <c r="J74" s="12">
        <f>IF(ISNUMBER(I74) = TRUE, I74*10^I$75*1000/I$76, "N/A")</f>
        <v>6000000</v>
      </c>
      <c r="K74" s="14"/>
      <c r="L74" s="12" t="str">
        <f>IF(ISNUMBER(K74) = TRUE, K74*10^K$75*1000/K$76, "N/A")</f>
        <v>N/A</v>
      </c>
      <c r="N74" s="13" t="s">
        <v>22</v>
      </c>
      <c r="O74" s="14">
        <v>20</v>
      </c>
      <c r="P74" s="12">
        <f>IF(ISNUMBER(O74) = TRUE, O74*10^O$75*1000/O$76, "N/A")</f>
        <v>4000000</v>
      </c>
      <c r="Q74" s="14"/>
      <c r="R74" s="12" t="str">
        <f>IF(ISNUMBER(Q74) = TRUE, Q74*10^Q$75*1000/Q$76, "N/A")</f>
        <v>N/A</v>
      </c>
    </row>
    <row r="75" spans="2:18" x14ac:dyDescent="0.4">
      <c r="B75" s="15" t="s">
        <v>13</v>
      </c>
      <c r="C75" s="16">
        <v>3</v>
      </c>
      <c r="D75" s="17"/>
      <c r="E75" s="30"/>
      <c r="F75" s="17"/>
      <c r="H75" s="15" t="s">
        <v>13</v>
      </c>
      <c r="I75" s="16">
        <v>3</v>
      </c>
      <c r="J75" s="17"/>
      <c r="K75" s="30"/>
      <c r="L75" s="17"/>
      <c r="N75" s="15" t="s">
        <v>13</v>
      </c>
      <c r="O75" s="16">
        <v>3</v>
      </c>
      <c r="P75" s="17"/>
      <c r="Q75" s="30"/>
      <c r="R75" s="17"/>
    </row>
    <row r="76" spans="2:18" x14ac:dyDescent="0.4">
      <c r="B76" s="13" t="s">
        <v>14</v>
      </c>
      <c r="C76" s="18">
        <v>5</v>
      </c>
      <c r="D76" s="19"/>
      <c r="E76" s="31">
        <v>5</v>
      </c>
      <c r="F76" s="19"/>
      <c r="H76" s="13" t="s">
        <v>14</v>
      </c>
      <c r="I76" s="18">
        <v>5</v>
      </c>
      <c r="J76" s="19"/>
      <c r="K76" s="31">
        <v>5</v>
      </c>
      <c r="L76" s="19"/>
      <c r="N76" s="13" t="s">
        <v>14</v>
      </c>
      <c r="O76" s="18">
        <v>5</v>
      </c>
      <c r="P76" s="19"/>
      <c r="Q76" s="31">
        <v>5</v>
      </c>
      <c r="R76" s="19"/>
    </row>
    <row r="77" spans="2:18" x14ac:dyDescent="0.4">
      <c r="B77" s="11" t="s">
        <v>8</v>
      </c>
      <c r="C77" s="2">
        <f>IF(ISBLANK(E70) = FALSE, (_xlfn.STDEV.P(D70:D74)^2+_xlfn.STDEV.P(F70:F74)^2)^(1/2), _xlfn.STDEV.P(D70:D74))</f>
        <v>744043.00950953097</v>
      </c>
      <c r="D77" s="20" t="s">
        <v>4</v>
      </c>
      <c r="E77" s="21">
        <v>3</v>
      </c>
      <c r="F77" s="22"/>
      <c r="H77" s="11" t="s">
        <v>8</v>
      </c>
      <c r="I77" s="2">
        <f>IF(ISBLANK(K70) = FALSE, (_xlfn.STDEV.P(J70:J74)^2+_xlfn.STDEV.P(L70:L74)^2)^(1/2), _xlfn.STDEV.P(J70:J74))</f>
        <v>587877.53826796275</v>
      </c>
      <c r="J77" s="20" t="s">
        <v>4</v>
      </c>
      <c r="K77" s="21">
        <v>3</v>
      </c>
      <c r="L77" s="22"/>
      <c r="N77" s="11" t="s">
        <v>8</v>
      </c>
      <c r="O77" s="2">
        <f>IF(ISBLANK(Q70) = FALSE, (_xlfn.STDEV.P(P70:P74)^2+_xlfn.STDEV.P(R70:R74)^2)^(1/2), _xlfn.STDEV.P(P70:P74))</f>
        <v>685857.12797928986</v>
      </c>
      <c r="P77" s="20" t="s">
        <v>4</v>
      </c>
      <c r="Q77" s="21">
        <v>3</v>
      </c>
      <c r="R77" s="22"/>
    </row>
    <row r="78" spans="2:18" x14ac:dyDescent="0.4">
      <c r="B78" s="11" t="s">
        <v>12</v>
      </c>
      <c r="C78" s="2">
        <f>IF(ISBLANK(E70) = FALSE, (AVERAGE(D70:D74)+AVERAGE(F70:F74))/2, AVERAGE(D70:D74))</f>
        <v>7120000</v>
      </c>
      <c r="D78" s="20" t="s">
        <v>16</v>
      </c>
      <c r="E78" s="23">
        <f>E$12+E77/24</f>
        <v>0.47916666666666669</v>
      </c>
      <c r="F78" s="24"/>
      <c r="H78" s="11" t="s">
        <v>12</v>
      </c>
      <c r="I78" s="2">
        <f>IF(ISBLANK(K70) = FALSE, (AVERAGE(J70:J74)+AVERAGE(L70:L74))/2, AVERAGE(J70:J74))</f>
        <v>7080000</v>
      </c>
      <c r="J78" s="20" t="s">
        <v>16</v>
      </c>
      <c r="K78" s="23">
        <f>K$12+K77/24</f>
        <v>0.47916666666666669</v>
      </c>
      <c r="L78" s="24"/>
      <c r="N78" s="11" t="s">
        <v>12</v>
      </c>
      <c r="O78" s="2">
        <f>IF(ISBLANK(Q70) = FALSE, (AVERAGE(P70:P74)+AVERAGE(R70:R74))/2, AVERAGE(P70:P74))</f>
        <v>3640000</v>
      </c>
      <c r="P78" s="20" t="s">
        <v>16</v>
      </c>
      <c r="Q78" s="23">
        <f>Q$12+Q77/24</f>
        <v>0.47916666666666669</v>
      </c>
      <c r="R78" s="24"/>
    </row>
    <row r="79" spans="2:18" ht="14.25" thickBot="1" x14ac:dyDescent="0.45">
      <c r="B79" s="25" t="s">
        <v>15</v>
      </c>
      <c r="C79" s="26">
        <f>IF(ISNUMBER(C67) = FALSE, C68, C68-0.1)</f>
        <v>4.4000000000000021</v>
      </c>
      <c r="D79" s="27" t="s">
        <v>17</v>
      </c>
      <c r="E79" s="28">
        <f>C78*C79</f>
        <v>31328000.000000015</v>
      </c>
      <c r="F79" s="29"/>
      <c r="H79" s="25" t="s">
        <v>15</v>
      </c>
      <c r="I79" s="26">
        <f>IF(ISNUMBER(I67) = FALSE, I68, I68-0.1)</f>
        <v>4.4000000000000021</v>
      </c>
      <c r="J79" s="27" t="s">
        <v>17</v>
      </c>
      <c r="K79" s="28">
        <f>I78*I79</f>
        <v>31152000.000000015</v>
      </c>
      <c r="L79" s="29"/>
      <c r="N79" s="25" t="s">
        <v>15</v>
      </c>
      <c r="O79" s="26">
        <f>IF(ISNUMBER(O67) = FALSE, O68, O68-0.1)</f>
        <v>4.4000000000000021</v>
      </c>
      <c r="P79" s="27" t="s">
        <v>17</v>
      </c>
      <c r="Q79" s="28">
        <f>O78*O79</f>
        <v>16016000.000000007</v>
      </c>
      <c r="R79" s="29"/>
    </row>
    <row r="80" spans="2:18" x14ac:dyDescent="0.4">
      <c r="B80" s="8">
        <v>8</v>
      </c>
      <c r="C80" s="9" t="s">
        <v>10</v>
      </c>
      <c r="D80" s="10" t="s">
        <v>11</v>
      </c>
      <c r="E80" s="9" t="s">
        <v>10</v>
      </c>
      <c r="F80" s="10" t="s">
        <v>11</v>
      </c>
      <c r="H80" s="8">
        <v>8</v>
      </c>
      <c r="I80" s="9" t="s">
        <v>10</v>
      </c>
      <c r="J80" s="10" t="s">
        <v>11</v>
      </c>
      <c r="K80" s="9" t="s">
        <v>10</v>
      </c>
      <c r="L80" s="10" t="s">
        <v>11</v>
      </c>
      <c r="N80" s="8">
        <v>8</v>
      </c>
      <c r="O80" s="9" t="s">
        <v>10</v>
      </c>
      <c r="P80" s="10" t="s">
        <v>11</v>
      </c>
      <c r="Q80" s="9" t="s">
        <v>10</v>
      </c>
      <c r="R80" s="10" t="s">
        <v>11</v>
      </c>
    </row>
    <row r="81" spans="2:18" x14ac:dyDescent="0.4">
      <c r="B81" s="11" t="s">
        <v>18</v>
      </c>
      <c r="C81" s="2">
        <v>64</v>
      </c>
      <c r="D81" s="12">
        <f>IF(ISNUMBER(C81) = TRUE, C81*10^C86*1000/C87, "N/A")</f>
        <v>12800000</v>
      </c>
      <c r="E81" s="2">
        <v>5</v>
      </c>
      <c r="F81" s="12">
        <f>IF(ISNUMBER(E81) = TRUE, E81*10^E86*1000/E87, "N/A")</f>
        <v>10000000</v>
      </c>
      <c r="H81" s="11" t="s">
        <v>18</v>
      </c>
      <c r="I81" s="2">
        <v>44</v>
      </c>
      <c r="J81" s="12">
        <f>IF(ISNUMBER(I81) = TRUE, I81*10^I86*1000/I87, "N/A")</f>
        <v>8800000</v>
      </c>
      <c r="K81" s="2">
        <v>4</v>
      </c>
      <c r="L81" s="12">
        <f>IF(ISNUMBER(K81) = TRUE, K81*10^K86*1000/K87, "N/A")</f>
        <v>8000000</v>
      </c>
      <c r="N81" s="11" t="s">
        <v>18</v>
      </c>
      <c r="O81" s="2">
        <v>29</v>
      </c>
      <c r="P81" s="12">
        <f>IF(ISNUMBER(O81) = TRUE, O81*10^O86*1000/O87, "N/A")</f>
        <v>5800000</v>
      </c>
      <c r="Q81" s="2"/>
      <c r="R81" s="12" t="str">
        <f>IF(ISNUMBER(Q81) = TRUE, Q81*10^Q86*1000/Q87, "N/A")</f>
        <v>N/A</v>
      </c>
    </row>
    <row r="82" spans="2:18" x14ac:dyDescent="0.4">
      <c r="B82" s="11" t="s">
        <v>19</v>
      </c>
      <c r="C82" s="2">
        <v>48</v>
      </c>
      <c r="D82" s="12">
        <f>IF(ISNUMBER(C82) = TRUE, C82*10^C86*1000/C87, "N/A")</f>
        <v>9600000</v>
      </c>
      <c r="E82" s="2">
        <v>5</v>
      </c>
      <c r="F82" s="12">
        <f>IF(ISNUMBER(E82) = TRUE, E82*10^E86*1000/E87, "N/A")</f>
        <v>10000000</v>
      </c>
      <c r="H82" s="11" t="s">
        <v>19</v>
      </c>
      <c r="I82" s="2">
        <v>49</v>
      </c>
      <c r="J82" s="12">
        <f>IF(ISNUMBER(I82) = TRUE, I82*10^I86*1000/I87, "N/A")</f>
        <v>9800000</v>
      </c>
      <c r="K82" s="2">
        <v>3</v>
      </c>
      <c r="L82" s="12">
        <f>IF(ISNUMBER(K82) = TRUE, K82*10^K86*1000/K87, "N/A")</f>
        <v>6000000</v>
      </c>
      <c r="N82" s="11" t="s">
        <v>19</v>
      </c>
      <c r="O82" s="2">
        <v>20</v>
      </c>
      <c r="P82" s="12">
        <f>IF(ISNUMBER(O82) = TRUE, O82*10^O86*1000/O87, "N/A")</f>
        <v>4000000</v>
      </c>
      <c r="Q82" s="2"/>
      <c r="R82" s="12" t="str">
        <f>IF(ISNUMBER(Q82) = TRUE, Q82*10^Q86*1000/Q87, "N/A")</f>
        <v>N/A</v>
      </c>
    </row>
    <row r="83" spans="2:18" x14ac:dyDescent="0.4">
      <c r="B83" s="11" t="s">
        <v>20</v>
      </c>
      <c r="C83" s="2">
        <v>57</v>
      </c>
      <c r="D83" s="12">
        <f>IF(ISNUMBER(C83) = TRUE, C83*10^C86*1000/C87, "N/A")</f>
        <v>11400000</v>
      </c>
      <c r="E83" s="2">
        <v>7</v>
      </c>
      <c r="F83" s="12">
        <f>IF(ISNUMBER(E83) = TRUE, E83*10^E86*1000/E87, "N/A")</f>
        <v>14000000</v>
      </c>
      <c r="H83" s="11" t="s">
        <v>20</v>
      </c>
      <c r="I83" s="2">
        <v>48</v>
      </c>
      <c r="J83" s="12">
        <f>IF(ISNUMBER(I83) = TRUE, I83*10^I86*1000/I87, "N/A")</f>
        <v>9600000</v>
      </c>
      <c r="K83" s="2">
        <v>5</v>
      </c>
      <c r="L83" s="12">
        <f>IF(ISNUMBER(K83) = TRUE, K83*10^K86*1000/K87, "N/A")</f>
        <v>10000000</v>
      </c>
      <c r="N83" s="11" t="s">
        <v>20</v>
      </c>
      <c r="O83" s="2">
        <v>27</v>
      </c>
      <c r="P83" s="12">
        <f>IF(ISNUMBER(O83) = TRUE, O83*10^O86*1000/O87, "N/A")</f>
        <v>5400000</v>
      </c>
      <c r="Q83" s="2"/>
      <c r="R83" s="12" t="str">
        <f>IF(ISNUMBER(Q83) = TRUE, Q83*10^Q86*1000/Q87, "N/A")</f>
        <v>N/A</v>
      </c>
    </row>
    <row r="84" spans="2:18" x14ac:dyDescent="0.4">
      <c r="B84" s="11" t="s">
        <v>21</v>
      </c>
      <c r="C84" s="2">
        <v>54</v>
      </c>
      <c r="D84" s="12">
        <f>IF(ISNUMBER(C84) = TRUE, C84*10^C86*1000/C87, "N/A")</f>
        <v>10800000</v>
      </c>
      <c r="E84" s="2">
        <v>5</v>
      </c>
      <c r="F84" s="12">
        <f>IF(ISNUMBER(E84) = TRUE, E84*10^E86*1000/E87, "N/A")</f>
        <v>10000000</v>
      </c>
      <c r="H84" s="11" t="s">
        <v>21</v>
      </c>
      <c r="I84" s="2">
        <v>51</v>
      </c>
      <c r="J84" s="12">
        <f>IF(ISNUMBER(I84) = TRUE, I84*10^I86*1000/I87, "N/A")</f>
        <v>10200000</v>
      </c>
      <c r="K84" s="2">
        <v>4</v>
      </c>
      <c r="L84" s="12">
        <f>IF(ISNUMBER(K84) = TRUE, K84*10^K86*1000/K87, "N/A")</f>
        <v>8000000</v>
      </c>
      <c r="N84" s="11" t="s">
        <v>21</v>
      </c>
      <c r="O84" s="2">
        <v>23</v>
      </c>
      <c r="P84" s="12">
        <f>IF(ISNUMBER(O84) = TRUE, O84*10^O86*1000/O87, "N/A")</f>
        <v>4600000</v>
      </c>
      <c r="Q84" s="2"/>
      <c r="R84" s="12" t="str">
        <f>IF(ISNUMBER(Q84) = TRUE, Q84*10^Q86*1000/Q87, "N/A")</f>
        <v>N/A</v>
      </c>
    </row>
    <row r="85" spans="2:18" x14ac:dyDescent="0.4">
      <c r="B85" s="13" t="s">
        <v>22</v>
      </c>
      <c r="C85" s="14">
        <v>45</v>
      </c>
      <c r="D85" s="12">
        <f>IF(ISNUMBER(C85) = TRUE, C85*10^C86*1000/C87, "N/A")</f>
        <v>9000000</v>
      </c>
      <c r="E85" s="14">
        <v>4</v>
      </c>
      <c r="F85" s="12">
        <f>IF(ISNUMBER(E85) = TRUE, E85*10^E86*1000/E87, "N/A")</f>
        <v>8000000</v>
      </c>
      <c r="H85" s="13" t="s">
        <v>22</v>
      </c>
      <c r="I85" s="14">
        <v>45</v>
      </c>
      <c r="J85" s="12">
        <f>IF(ISNUMBER(I85) = TRUE, I85*10^I86*1000/I87, "N/A")</f>
        <v>9000000</v>
      </c>
      <c r="K85" s="14">
        <v>5</v>
      </c>
      <c r="L85" s="12">
        <f>IF(ISNUMBER(K85) = TRUE, K85*10^K86*1000/K87, "N/A")</f>
        <v>10000000</v>
      </c>
      <c r="N85" s="13" t="s">
        <v>22</v>
      </c>
      <c r="O85" s="14">
        <v>24</v>
      </c>
      <c r="P85" s="12">
        <f>IF(ISNUMBER(O85) = TRUE, O85*10^O86*1000/O87, "N/A")</f>
        <v>4800000</v>
      </c>
      <c r="Q85" s="14"/>
      <c r="R85" s="12" t="str">
        <f>IF(ISNUMBER(Q85) = TRUE, Q85*10^Q86*1000/Q87, "N/A")</f>
        <v>N/A</v>
      </c>
    </row>
    <row r="86" spans="2:18" x14ac:dyDescent="0.4">
      <c r="B86" s="15" t="s">
        <v>13</v>
      </c>
      <c r="C86" s="16">
        <v>3</v>
      </c>
      <c r="D86" s="17"/>
      <c r="E86" s="30">
        <v>4</v>
      </c>
      <c r="F86" s="17"/>
      <c r="H86" s="15" t="s">
        <v>13</v>
      </c>
      <c r="I86" s="16">
        <v>3</v>
      </c>
      <c r="J86" s="17"/>
      <c r="K86" s="30">
        <v>4</v>
      </c>
      <c r="L86" s="17"/>
      <c r="N86" s="15" t="s">
        <v>13</v>
      </c>
      <c r="O86" s="16">
        <v>3</v>
      </c>
      <c r="P86" s="17"/>
      <c r="Q86" s="30"/>
      <c r="R86" s="17"/>
    </row>
    <row r="87" spans="2:18" x14ac:dyDescent="0.4">
      <c r="B87" s="13" t="s">
        <v>14</v>
      </c>
      <c r="C87" s="18">
        <v>5</v>
      </c>
      <c r="D87" s="19"/>
      <c r="E87" s="31">
        <v>5</v>
      </c>
      <c r="F87" s="19"/>
      <c r="H87" s="13" t="s">
        <v>14</v>
      </c>
      <c r="I87" s="18">
        <v>5</v>
      </c>
      <c r="J87" s="19"/>
      <c r="K87" s="31">
        <v>5</v>
      </c>
      <c r="L87" s="19"/>
      <c r="N87" s="13" t="s">
        <v>14</v>
      </c>
      <c r="O87" s="18">
        <v>5</v>
      </c>
      <c r="P87" s="19"/>
      <c r="Q87" s="31">
        <v>5</v>
      </c>
      <c r="R87" s="19"/>
    </row>
    <row r="88" spans="2:18" x14ac:dyDescent="0.4">
      <c r="B88" s="11" t="s">
        <v>8</v>
      </c>
      <c r="C88" s="2">
        <f>IF(ISBLANK(E81) = FALSE, (_xlfn.STDEV.P(D81:D85)^2+_xlfn.STDEV.P(F81:F85)^2)^(1/2), _xlfn.STDEV.P(D81:D85))</f>
        <v>2375205.2542885635</v>
      </c>
      <c r="D88" s="20" t="s">
        <v>4</v>
      </c>
      <c r="E88" s="21">
        <v>4</v>
      </c>
      <c r="F88" s="22"/>
      <c r="H88" s="11" t="s">
        <v>8</v>
      </c>
      <c r="I88" s="2">
        <f>IF(ISBLANK(K81) = FALSE, (_xlfn.STDEV.P(J81:J85)^2+_xlfn.STDEV.P(L81:L85)^2)^(1/2), _xlfn.STDEV.P(J81:J85))</f>
        <v>1582908.7149927502</v>
      </c>
      <c r="J88" s="20" t="s">
        <v>4</v>
      </c>
      <c r="K88" s="21">
        <v>4</v>
      </c>
      <c r="L88" s="22"/>
      <c r="N88" s="11" t="s">
        <v>8</v>
      </c>
      <c r="O88" s="2">
        <f>IF(ISBLANK(Q81) = FALSE, (_xlfn.STDEV.P(P81:P85)^2+_xlfn.STDEV.P(R81:R85)^2)^(1/2), _xlfn.STDEV.P(P81:P85))</f>
        <v>627375.48565432488</v>
      </c>
      <c r="P88" s="20" t="s">
        <v>4</v>
      </c>
      <c r="Q88" s="21">
        <v>4</v>
      </c>
      <c r="R88" s="22"/>
    </row>
    <row r="89" spans="2:18" x14ac:dyDescent="0.4">
      <c r="B89" s="11" t="s">
        <v>12</v>
      </c>
      <c r="C89" s="2">
        <f>IF(ISBLANK(E81) = FALSE, (AVERAGE(D81:D85)+AVERAGE(F81:F85))/2, AVERAGE(D81:D85))</f>
        <v>10560000</v>
      </c>
      <c r="D89" s="20" t="s">
        <v>16</v>
      </c>
      <c r="E89" s="23">
        <f>E$12+E88/24</f>
        <v>0.52083333333333337</v>
      </c>
      <c r="F89" s="24"/>
      <c r="H89" s="11" t="s">
        <v>12</v>
      </c>
      <c r="I89" s="2">
        <f>IF(ISBLANK(K81) = FALSE, (AVERAGE(J81:J85)+AVERAGE(L81:L85))/2, AVERAGE(J81:J85))</f>
        <v>8940000</v>
      </c>
      <c r="J89" s="20" t="s">
        <v>16</v>
      </c>
      <c r="K89" s="23">
        <f>K$12+K88/24</f>
        <v>0.52083333333333337</v>
      </c>
      <c r="L89" s="24"/>
      <c r="N89" s="11" t="s">
        <v>12</v>
      </c>
      <c r="O89" s="2">
        <f>IF(ISBLANK(Q81) = FALSE, (AVERAGE(P81:P85)+AVERAGE(R81:R85))/2, AVERAGE(P81:P85))</f>
        <v>4920000</v>
      </c>
      <c r="P89" s="20" t="s">
        <v>16</v>
      </c>
      <c r="Q89" s="23">
        <f>Q$12+Q88/24</f>
        <v>0.52083333333333337</v>
      </c>
      <c r="R89" s="24"/>
    </row>
    <row r="90" spans="2:18" ht="14.25" thickBot="1" x14ac:dyDescent="0.45">
      <c r="B90" s="25" t="s">
        <v>15</v>
      </c>
      <c r="C90" s="26">
        <f>IF(ISNUMBER(C78) = FALSE, C79, C79-0.1)</f>
        <v>4.3000000000000025</v>
      </c>
      <c r="D90" s="27" t="s">
        <v>17</v>
      </c>
      <c r="E90" s="28">
        <f>C89*C90</f>
        <v>45408000.00000003</v>
      </c>
      <c r="F90" s="29"/>
      <c r="H90" s="25" t="s">
        <v>15</v>
      </c>
      <c r="I90" s="26">
        <f>IF(ISNUMBER(I78) = FALSE, I79, I79-0.1)</f>
        <v>4.3000000000000025</v>
      </c>
      <c r="J90" s="27" t="s">
        <v>17</v>
      </c>
      <c r="K90" s="28">
        <f>I89*I90</f>
        <v>38442000.000000022</v>
      </c>
      <c r="L90" s="29"/>
      <c r="N90" s="25" t="s">
        <v>15</v>
      </c>
      <c r="O90" s="26">
        <f>IF(ISNUMBER(O78) = FALSE, O79, O79-0.1)</f>
        <v>4.3000000000000025</v>
      </c>
      <c r="P90" s="27" t="s">
        <v>17</v>
      </c>
      <c r="Q90" s="28">
        <f>O89*O90</f>
        <v>21156000.000000011</v>
      </c>
      <c r="R90" s="29"/>
    </row>
    <row r="91" spans="2:18" x14ac:dyDescent="0.4">
      <c r="B91" s="8">
        <v>9</v>
      </c>
      <c r="C91" s="9" t="s">
        <v>10</v>
      </c>
      <c r="D91" s="10" t="s">
        <v>11</v>
      </c>
      <c r="E91" s="9" t="s">
        <v>10</v>
      </c>
      <c r="F91" s="10" t="s">
        <v>11</v>
      </c>
      <c r="H91" s="8">
        <v>9</v>
      </c>
      <c r="I91" s="9" t="s">
        <v>10</v>
      </c>
      <c r="J91" s="10" t="s">
        <v>11</v>
      </c>
      <c r="K91" s="9" t="s">
        <v>10</v>
      </c>
      <c r="L91" s="10" t="s">
        <v>11</v>
      </c>
      <c r="N91" s="8">
        <v>9</v>
      </c>
      <c r="O91" s="9" t="s">
        <v>10</v>
      </c>
      <c r="P91" s="10" t="s">
        <v>11</v>
      </c>
      <c r="Q91" s="9" t="s">
        <v>10</v>
      </c>
      <c r="R91" s="10" t="s">
        <v>11</v>
      </c>
    </row>
    <row r="92" spans="2:18" x14ac:dyDescent="0.4">
      <c r="B92" s="11" t="s">
        <v>18</v>
      </c>
      <c r="C92" s="2">
        <v>18</v>
      </c>
      <c r="D92" s="12">
        <f>IF(ISNUMBER(C92) = TRUE, C92*10^C97*1000/C98, "N/A")</f>
        <v>36000000</v>
      </c>
      <c r="E92" s="2"/>
      <c r="F92" s="12" t="str">
        <f>IF(ISNUMBER(E92) = TRUE, E92*10^E97*1000/E98, "N/A")</f>
        <v>N/A</v>
      </c>
      <c r="H92" s="11" t="s">
        <v>18</v>
      </c>
      <c r="I92" s="2">
        <v>132</v>
      </c>
      <c r="J92" s="12">
        <f>IF(ISNUMBER(I92) = TRUE, I92*10^I97*1000/I98, "N/A")</f>
        <v>26400000</v>
      </c>
      <c r="K92" s="2">
        <v>13</v>
      </c>
      <c r="L92" s="12">
        <f>IF(ISNUMBER(K92) = TRUE, K92*10^K97*1000/K98, "N/A")</f>
        <v>26000000</v>
      </c>
      <c r="N92" s="11" t="s">
        <v>18</v>
      </c>
      <c r="O92" s="2">
        <v>59</v>
      </c>
      <c r="P92" s="12">
        <f>IF(ISNUMBER(O92) = TRUE, O92*10^O97*1000/O98, "N/A")</f>
        <v>11800000</v>
      </c>
      <c r="Q92" s="2">
        <v>5</v>
      </c>
      <c r="R92" s="12">
        <f>IF(ISNUMBER(Q92) = TRUE, Q92*10^Q97*1000/Q98, "N/A")</f>
        <v>10000000</v>
      </c>
    </row>
    <row r="93" spans="2:18" x14ac:dyDescent="0.4">
      <c r="B93" s="11" t="s">
        <v>19</v>
      </c>
      <c r="C93" s="2">
        <v>16</v>
      </c>
      <c r="D93" s="12">
        <f>IF(ISNUMBER(C93) = TRUE, C93*10^C97*1000/C98, "N/A")</f>
        <v>32000000</v>
      </c>
      <c r="E93" s="2"/>
      <c r="F93" s="12" t="str">
        <f>IF(ISNUMBER(E93) = TRUE, E93*10^E97*1000/E98, "N/A")</f>
        <v>N/A</v>
      </c>
      <c r="H93" s="11" t="s">
        <v>19</v>
      </c>
      <c r="I93" s="2">
        <v>108</v>
      </c>
      <c r="J93" s="12">
        <f>IF(ISNUMBER(I93) = TRUE, I93*10^I97*1000/I98, "N/A")</f>
        <v>21600000</v>
      </c>
      <c r="K93" s="2">
        <v>12</v>
      </c>
      <c r="L93" s="12">
        <f>IF(ISNUMBER(K93) = TRUE, K93*10^K97*1000/K98, "N/A")</f>
        <v>24000000</v>
      </c>
      <c r="N93" s="11" t="s">
        <v>19</v>
      </c>
      <c r="O93" s="2">
        <v>52</v>
      </c>
      <c r="P93" s="12">
        <f>IF(ISNUMBER(O93) = TRUE, O93*10^O97*1000/O98, "N/A")</f>
        <v>10400000</v>
      </c>
      <c r="Q93" s="2">
        <v>6</v>
      </c>
      <c r="R93" s="12">
        <f>IF(ISNUMBER(Q93) = TRUE, Q93*10^Q97*1000/Q98, "N/A")</f>
        <v>12000000</v>
      </c>
    </row>
    <row r="94" spans="2:18" x14ac:dyDescent="0.4">
      <c r="B94" s="11" t="s">
        <v>20</v>
      </c>
      <c r="C94" s="2">
        <v>18</v>
      </c>
      <c r="D94" s="12">
        <f>IF(ISNUMBER(C94) = TRUE, C94*10^C97*1000/C98, "N/A")</f>
        <v>36000000</v>
      </c>
      <c r="E94" s="2"/>
      <c r="F94" s="12" t="str">
        <f>IF(ISNUMBER(E94) = TRUE, E94*10^E97*1000/E98, "N/A")</f>
        <v>N/A</v>
      </c>
      <c r="H94" s="11" t="s">
        <v>20</v>
      </c>
      <c r="I94" s="2">
        <v>99</v>
      </c>
      <c r="J94" s="12">
        <f>IF(ISNUMBER(I94) = TRUE, I94*10^I97*1000/I98, "N/A")</f>
        <v>19800000</v>
      </c>
      <c r="K94" s="2">
        <v>11</v>
      </c>
      <c r="L94" s="12">
        <f>IF(ISNUMBER(K94) = TRUE, K94*10^K97*1000/K98, "N/A")</f>
        <v>22000000</v>
      </c>
      <c r="N94" s="11" t="s">
        <v>20</v>
      </c>
      <c r="O94" s="2">
        <v>49</v>
      </c>
      <c r="P94" s="12">
        <f>IF(ISNUMBER(O94) = TRUE, O94*10^O97*1000/O98, "N/A")</f>
        <v>9800000</v>
      </c>
      <c r="Q94" s="2">
        <v>4</v>
      </c>
      <c r="R94" s="12">
        <f>IF(ISNUMBER(Q94) = TRUE, Q94*10^Q97*1000/Q98, "N/A")</f>
        <v>8000000</v>
      </c>
    </row>
    <row r="95" spans="2:18" x14ac:dyDescent="0.4">
      <c r="B95" s="11" t="s">
        <v>21</v>
      </c>
      <c r="C95" s="2">
        <v>19</v>
      </c>
      <c r="D95" s="12">
        <f>IF(ISNUMBER(C95) = TRUE, C95*10^C97*1000/C98, "N/A")</f>
        <v>38000000</v>
      </c>
      <c r="E95" s="2"/>
      <c r="F95" s="12" t="str">
        <f>IF(ISNUMBER(E95) = TRUE, E95*10^E97*1000/E98, "N/A")</f>
        <v>N/A</v>
      </c>
      <c r="H95" s="11" t="s">
        <v>21</v>
      </c>
      <c r="I95" s="2">
        <v>126</v>
      </c>
      <c r="J95" s="12">
        <f>IF(ISNUMBER(I95) = TRUE, I95*10^I97*1000/I98, "N/A")</f>
        <v>25200000</v>
      </c>
      <c r="K95" s="2">
        <v>12</v>
      </c>
      <c r="L95" s="12">
        <f>IF(ISNUMBER(K95) = TRUE, K95*10^K97*1000/K98, "N/A")</f>
        <v>24000000</v>
      </c>
      <c r="N95" s="11" t="s">
        <v>21</v>
      </c>
      <c r="O95" s="2">
        <v>58</v>
      </c>
      <c r="P95" s="12">
        <f>IF(ISNUMBER(O95) = TRUE, O95*10^O97*1000/O98, "N/A")</f>
        <v>11600000</v>
      </c>
      <c r="Q95" s="2">
        <v>5</v>
      </c>
      <c r="R95" s="12">
        <f>IF(ISNUMBER(Q95) = TRUE, Q95*10^Q97*1000/Q98, "N/A")</f>
        <v>10000000</v>
      </c>
    </row>
    <row r="96" spans="2:18" x14ac:dyDescent="0.4">
      <c r="B96" s="13" t="s">
        <v>22</v>
      </c>
      <c r="C96" s="14">
        <v>14</v>
      </c>
      <c r="D96" s="12">
        <f>IF(ISNUMBER(C96) = TRUE, C96*10^C97*1000/C98, "N/A")</f>
        <v>28000000</v>
      </c>
      <c r="E96" s="14"/>
      <c r="F96" s="12" t="str">
        <f>IF(ISNUMBER(E96) = TRUE, E96*10^E97*1000/E98, "N/A")</f>
        <v>N/A</v>
      </c>
      <c r="H96" s="13" t="s">
        <v>22</v>
      </c>
      <c r="I96" s="14">
        <v>109</v>
      </c>
      <c r="J96" s="12">
        <f>IF(ISNUMBER(I96) = TRUE, I96*10^I97*1000/I98, "N/A")</f>
        <v>21800000</v>
      </c>
      <c r="K96" s="14">
        <v>10</v>
      </c>
      <c r="L96" s="12">
        <f>IF(ISNUMBER(K96) = TRUE, K96*10^K97*1000/K98, "N/A")</f>
        <v>20000000</v>
      </c>
      <c r="N96" s="13" t="s">
        <v>22</v>
      </c>
      <c r="O96" s="14">
        <v>61</v>
      </c>
      <c r="P96" s="12">
        <f>IF(ISNUMBER(O96) = TRUE, O96*10^O97*1000/O98, "N/A")</f>
        <v>12200000</v>
      </c>
      <c r="Q96" s="14">
        <v>4</v>
      </c>
      <c r="R96" s="12">
        <f>IF(ISNUMBER(Q96) = TRUE, Q96*10^Q97*1000/Q98, "N/A")</f>
        <v>8000000</v>
      </c>
    </row>
    <row r="97" spans="2:18" x14ac:dyDescent="0.4">
      <c r="B97" s="15" t="s">
        <v>13</v>
      </c>
      <c r="C97" s="16">
        <v>4</v>
      </c>
      <c r="D97" s="17"/>
      <c r="E97" s="30"/>
      <c r="F97" s="17"/>
      <c r="H97" s="15" t="s">
        <v>13</v>
      </c>
      <c r="I97" s="16">
        <v>3</v>
      </c>
      <c r="J97" s="17"/>
      <c r="K97" s="30">
        <v>4</v>
      </c>
      <c r="L97" s="17"/>
      <c r="N97" s="15" t="s">
        <v>13</v>
      </c>
      <c r="O97" s="16">
        <v>3</v>
      </c>
      <c r="P97" s="17"/>
      <c r="Q97" s="30">
        <v>4</v>
      </c>
      <c r="R97" s="17"/>
    </row>
    <row r="98" spans="2:18" x14ac:dyDescent="0.4">
      <c r="B98" s="13" t="s">
        <v>14</v>
      </c>
      <c r="C98" s="18">
        <v>5</v>
      </c>
      <c r="D98" s="19"/>
      <c r="E98" s="31">
        <v>5</v>
      </c>
      <c r="F98" s="19"/>
      <c r="H98" s="13" t="s">
        <v>14</v>
      </c>
      <c r="I98" s="18">
        <v>5</v>
      </c>
      <c r="J98" s="19"/>
      <c r="K98" s="31">
        <v>5</v>
      </c>
      <c r="L98" s="19"/>
      <c r="N98" s="13" t="s">
        <v>14</v>
      </c>
      <c r="O98" s="18">
        <v>5</v>
      </c>
      <c r="P98" s="19"/>
      <c r="Q98" s="31">
        <v>5</v>
      </c>
      <c r="R98" s="19"/>
    </row>
    <row r="99" spans="2:18" x14ac:dyDescent="0.4">
      <c r="B99" s="11" t="s">
        <v>8</v>
      </c>
      <c r="C99" s="2">
        <f>IF(ISBLANK(E92) = FALSE, (_xlfn.STDEV.P(D92:D96)^2+_xlfn.STDEV.P(F92:F96)^2)^(1/2), _xlfn.STDEV.P(D92:D96))</f>
        <v>3577708.7639996633</v>
      </c>
      <c r="D99" s="20" t="s">
        <v>4</v>
      </c>
      <c r="E99" s="21">
        <v>8</v>
      </c>
      <c r="F99" s="22"/>
      <c r="H99" s="11" t="s">
        <v>8</v>
      </c>
      <c r="I99" s="2">
        <f>IF(ISBLANK(K92) = FALSE, (_xlfn.STDEV.P(J92:J96)^2+_xlfn.STDEV.P(L92:L96)^2)^(1/2), _xlfn.STDEV.P(J92:J96))</f>
        <v>3188479.2613407411</v>
      </c>
      <c r="J99" s="20" t="s">
        <v>4</v>
      </c>
      <c r="K99" s="21">
        <v>8</v>
      </c>
      <c r="L99" s="22"/>
      <c r="N99" s="11" t="s">
        <v>8</v>
      </c>
      <c r="O99" s="2">
        <f>IF(ISBLANK(Q92) = FALSE, (_xlfn.STDEV.P(P92:P96)^2+_xlfn.STDEV.P(R92:R96)^2)^(1/2), _xlfn.STDEV.P(P92:P96))</f>
        <v>1749971.4283381884</v>
      </c>
      <c r="P99" s="20" t="s">
        <v>4</v>
      </c>
      <c r="Q99" s="21">
        <v>8</v>
      </c>
      <c r="R99" s="22"/>
    </row>
    <row r="100" spans="2:18" x14ac:dyDescent="0.4">
      <c r="B100" s="11" t="s">
        <v>12</v>
      </c>
      <c r="C100" s="2">
        <f>IF(ISBLANK(E92) = FALSE, (AVERAGE(D92:D96)+AVERAGE(F92:F96))/2, AVERAGE(D92:D96))</f>
        <v>34000000</v>
      </c>
      <c r="D100" s="20" t="s">
        <v>16</v>
      </c>
      <c r="E100" s="23">
        <f>E$12+E99/24</f>
        <v>0.6875</v>
      </c>
      <c r="F100" s="24"/>
      <c r="H100" s="11" t="s">
        <v>12</v>
      </c>
      <c r="I100" s="2">
        <f>IF(ISBLANK(K92) = FALSE, (AVERAGE(J92:J96)+AVERAGE(L92:L96))/2, AVERAGE(J92:J96))</f>
        <v>23080000</v>
      </c>
      <c r="J100" s="20" t="s">
        <v>16</v>
      </c>
      <c r="K100" s="23">
        <f>K$12+K99/24</f>
        <v>0.6875</v>
      </c>
      <c r="L100" s="24"/>
      <c r="N100" s="11" t="s">
        <v>12</v>
      </c>
      <c r="O100" s="2">
        <f>IF(ISBLANK(Q92) = FALSE, (AVERAGE(P92:P96)+AVERAGE(R92:R96))/2, AVERAGE(P92:P96))</f>
        <v>10380000</v>
      </c>
      <c r="P100" s="20" t="s">
        <v>16</v>
      </c>
      <c r="Q100" s="23">
        <f>Q$12+Q99/24</f>
        <v>0.6875</v>
      </c>
      <c r="R100" s="24"/>
    </row>
    <row r="101" spans="2:18" ht="14.25" thickBot="1" x14ac:dyDescent="0.45">
      <c r="B101" s="25" t="s">
        <v>15</v>
      </c>
      <c r="C101" s="26">
        <f>IF(ISNUMBER(C89) = FALSE, C90, C90-0.1)</f>
        <v>4.2000000000000028</v>
      </c>
      <c r="D101" s="27" t="s">
        <v>17</v>
      </c>
      <c r="E101" s="28">
        <f>C100*C101</f>
        <v>142800000.00000009</v>
      </c>
      <c r="F101" s="29"/>
      <c r="H101" s="25" t="s">
        <v>15</v>
      </c>
      <c r="I101" s="26">
        <f>IF(ISNUMBER(I89) = FALSE, I90, I90-0.1)</f>
        <v>4.2000000000000028</v>
      </c>
      <c r="J101" s="27" t="s">
        <v>17</v>
      </c>
      <c r="K101" s="28">
        <f>I100*I101</f>
        <v>96936000.00000006</v>
      </c>
      <c r="L101" s="29"/>
      <c r="N101" s="25" t="s">
        <v>15</v>
      </c>
      <c r="O101" s="26">
        <f>IF(ISNUMBER(O89) = FALSE, O90, O90-0.1)</f>
        <v>4.2000000000000028</v>
      </c>
      <c r="P101" s="27" t="s">
        <v>17</v>
      </c>
      <c r="Q101" s="28">
        <f>O100*O101</f>
        <v>43596000.00000003</v>
      </c>
      <c r="R101" s="29"/>
    </row>
    <row r="102" spans="2:18" x14ac:dyDescent="0.4">
      <c r="B102" s="8">
        <v>10</v>
      </c>
      <c r="C102" s="9" t="s">
        <v>10</v>
      </c>
      <c r="D102" s="10" t="s">
        <v>11</v>
      </c>
      <c r="E102" s="9" t="s">
        <v>10</v>
      </c>
      <c r="F102" s="10" t="s">
        <v>11</v>
      </c>
      <c r="H102" s="8">
        <v>10</v>
      </c>
      <c r="I102" s="9" t="s">
        <v>10</v>
      </c>
      <c r="J102" s="10" t="s">
        <v>11</v>
      </c>
      <c r="K102" s="9" t="s">
        <v>10</v>
      </c>
      <c r="L102" s="10" t="s">
        <v>11</v>
      </c>
      <c r="N102" s="8">
        <v>10</v>
      </c>
      <c r="O102" s="9" t="s">
        <v>10</v>
      </c>
      <c r="P102" s="10" t="s">
        <v>11</v>
      </c>
      <c r="Q102" s="9" t="s">
        <v>10</v>
      </c>
      <c r="R102" s="10" t="s">
        <v>11</v>
      </c>
    </row>
    <row r="103" spans="2:18" x14ac:dyDescent="0.4">
      <c r="B103" s="11" t="s">
        <v>18</v>
      </c>
      <c r="C103" s="2">
        <v>25</v>
      </c>
      <c r="D103" s="12">
        <f>IF(ISNUMBER(C103) = TRUE, C103*10^C108*1000/C109, "N/A")</f>
        <v>50000000</v>
      </c>
      <c r="E103" s="2"/>
      <c r="F103" s="12" t="str">
        <f>IF(ISNUMBER(E103) = TRUE, E103*10^E108*1000/E109, "N/A")</f>
        <v>N/A</v>
      </c>
      <c r="H103" s="11" t="s">
        <v>18</v>
      </c>
      <c r="I103" s="2">
        <v>35</v>
      </c>
      <c r="J103" s="12">
        <f>IF(ISNUMBER(I103) = TRUE, I103*10^I108*1000/I109, "N/A")</f>
        <v>70000000</v>
      </c>
      <c r="K103" s="2">
        <v>3</v>
      </c>
      <c r="L103" s="12">
        <f>IF(ISNUMBER(K103) = TRUE, K103*10^K108*1000/K109, "N/A")</f>
        <v>60000000</v>
      </c>
      <c r="N103" s="11" t="s">
        <v>18</v>
      </c>
      <c r="O103" s="2">
        <v>212</v>
      </c>
      <c r="P103" s="12">
        <f>IF(ISNUMBER(O103) = TRUE, O103*10^O108*1000/O109, "N/A")</f>
        <v>42400000</v>
      </c>
      <c r="Q103" s="2">
        <v>27</v>
      </c>
      <c r="R103" s="12">
        <f>IF(ISNUMBER(Q103) = TRUE, Q103*10^Q108*1000/Q109, "N/A")</f>
        <v>54000000</v>
      </c>
    </row>
    <row r="104" spans="2:18" x14ac:dyDescent="0.4">
      <c r="B104" s="11" t="s">
        <v>19</v>
      </c>
      <c r="C104" s="2">
        <v>26</v>
      </c>
      <c r="D104" s="12">
        <f>IF(ISNUMBER(C104) = TRUE, C104*10^C108*1000/C109, "N/A")</f>
        <v>52000000</v>
      </c>
      <c r="E104" s="2"/>
      <c r="F104" s="12" t="str">
        <f>IF(ISNUMBER(E104) = TRUE, E104*10^E108*1000/E109, "N/A")</f>
        <v>N/A</v>
      </c>
      <c r="H104" s="11" t="s">
        <v>19</v>
      </c>
      <c r="I104" s="2">
        <v>33</v>
      </c>
      <c r="J104" s="12">
        <f>IF(ISNUMBER(I104) = TRUE, I104*10^I108*1000/I109, "N/A")</f>
        <v>66000000</v>
      </c>
      <c r="K104" s="2">
        <v>2</v>
      </c>
      <c r="L104" s="12">
        <f>IF(ISNUMBER(K104) = TRUE, K104*10^K108*1000/K109, "N/A")</f>
        <v>40000000</v>
      </c>
      <c r="N104" s="11" t="s">
        <v>19</v>
      </c>
      <c r="O104" s="2">
        <v>233</v>
      </c>
      <c r="P104" s="12">
        <f>IF(ISNUMBER(O104) = TRUE, O104*10^O108*1000/O109, "N/A")</f>
        <v>46600000</v>
      </c>
      <c r="Q104" s="2">
        <v>21</v>
      </c>
      <c r="R104" s="12">
        <f>IF(ISNUMBER(Q104) = TRUE, Q104*10^Q108*1000/Q109, "N/A")</f>
        <v>42000000</v>
      </c>
    </row>
    <row r="105" spans="2:18" x14ac:dyDescent="0.4">
      <c r="B105" s="11" t="s">
        <v>20</v>
      </c>
      <c r="C105" s="2">
        <v>29</v>
      </c>
      <c r="D105" s="12">
        <f>IF(ISNUMBER(C105) = TRUE, C105*10^C108*1000/C109, "N/A")</f>
        <v>58000000</v>
      </c>
      <c r="E105" s="2"/>
      <c r="F105" s="12" t="str">
        <f>IF(ISNUMBER(E105) = TRUE, E105*10^E108*1000/E109, "N/A")</f>
        <v>N/A</v>
      </c>
      <c r="H105" s="11" t="s">
        <v>20</v>
      </c>
      <c r="I105" s="2">
        <v>33</v>
      </c>
      <c r="J105" s="12">
        <f>IF(ISNUMBER(I105) = TRUE, I105*10^I108*1000/I109, "N/A")</f>
        <v>66000000</v>
      </c>
      <c r="K105" s="2">
        <v>3</v>
      </c>
      <c r="L105" s="12">
        <f>IF(ISNUMBER(K105) = TRUE, K105*10^K108*1000/K109, "N/A")</f>
        <v>60000000</v>
      </c>
      <c r="N105" s="11" t="s">
        <v>20</v>
      </c>
      <c r="O105" s="2">
        <v>229</v>
      </c>
      <c r="P105" s="12">
        <f>IF(ISNUMBER(O105) = TRUE, O105*10^O108*1000/O109, "N/A")</f>
        <v>45800000</v>
      </c>
      <c r="Q105" s="2">
        <v>22</v>
      </c>
      <c r="R105" s="12">
        <f>IF(ISNUMBER(Q105) = TRUE, Q105*10^Q108*1000/Q109, "N/A")</f>
        <v>44000000</v>
      </c>
    </row>
    <row r="106" spans="2:18" x14ac:dyDescent="0.4">
      <c r="B106" s="11" t="s">
        <v>21</v>
      </c>
      <c r="C106" s="2">
        <v>33</v>
      </c>
      <c r="D106" s="12">
        <f>IF(ISNUMBER(C106) = TRUE, C106*10^C108*1000/C109, "N/A")</f>
        <v>66000000</v>
      </c>
      <c r="E106" s="2"/>
      <c r="F106" s="12" t="str">
        <f>IF(ISNUMBER(E106) = TRUE, E106*10^E108*1000/E109, "N/A")</f>
        <v>N/A</v>
      </c>
      <c r="H106" s="11" t="s">
        <v>21</v>
      </c>
      <c r="I106" s="2">
        <v>25</v>
      </c>
      <c r="J106" s="12">
        <f>IF(ISNUMBER(I106) = TRUE, I106*10^I108*1000/I109, "N/A")</f>
        <v>50000000</v>
      </c>
      <c r="K106" s="2">
        <v>5</v>
      </c>
      <c r="L106" s="12">
        <f>IF(ISNUMBER(K106) = TRUE, K106*10^K108*1000/K109, "N/A")</f>
        <v>100000000</v>
      </c>
      <c r="N106" s="11" t="s">
        <v>21</v>
      </c>
      <c r="O106" s="2">
        <v>221</v>
      </c>
      <c r="P106" s="12">
        <f>IF(ISNUMBER(O106) = TRUE, O106*10^O108*1000/O109, "N/A")</f>
        <v>44200000</v>
      </c>
      <c r="Q106" s="2">
        <v>20</v>
      </c>
      <c r="R106" s="12">
        <f>IF(ISNUMBER(Q106) = TRUE, Q106*10^Q108*1000/Q109, "N/A")</f>
        <v>40000000</v>
      </c>
    </row>
    <row r="107" spans="2:18" x14ac:dyDescent="0.4">
      <c r="B107" s="13" t="s">
        <v>22</v>
      </c>
      <c r="C107" s="14">
        <v>28</v>
      </c>
      <c r="D107" s="12">
        <f>IF(ISNUMBER(C107) = TRUE, C107*10^C108*1000/C109, "N/A")</f>
        <v>56000000</v>
      </c>
      <c r="E107" s="14"/>
      <c r="F107" s="12" t="str">
        <f>IF(ISNUMBER(E107) = TRUE, E107*10^E108*1000/E109, "N/A")</f>
        <v>N/A</v>
      </c>
      <c r="H107" s="13" t="s">
        <v>22</v>
      </c>
      <c r="I107" s="14">
        <v>30</v>
      </c>
      <c r="J107" s="12">
        <f>IF(ISNUMBER(I107) = TRUE, I107*10^I108*1000/I109, "N/A")</f>
        <v>60000000</v>
      </c>
      <c r="K107" s="14">
        <v>2</v>
      </c>
      <c r="L107" s="12">
        <f>IF(ISNUMBER(K107) = TRUE, K107*10^K108*1000/K109, "N/A")</f>
        <v>40000000</v>
      </c>
      <c r="N107" s="13" t="s">
        <v>22</v>
      </c>
      <c r="O107" s="14">
        <v>215</v>
      </c>
      <c r="P107" s="12">
        <f>IF(ISNUMBER(O107) = TRUE, O107*10^O108*1000/O109, "N/A")</f>
        <v>43000000</v>
      </c>
      <c r="Q107" s="14">
        <v>18</v>
      </c>
      <c r="R107" s="12">
        <f>IF(ISNUMBER(Q107) = TRUE, Q107*10^Q108*1000/Q109, "N/A")</f>
        <v>36000000</v>
      </c>
    </row>
    <row r="108" spans="2:18" x14ac:dyDescent="0.4">
      <c r="B108" s="15" t="s">
        <v>13</v>
      </c>
      <c r="C108" s="16">
        <v>4</v>
      </c>
      <c r="D108" s="17"/>
      <c r="E108" s="30"/>
      <c r="F108" s="17"/>
      <c r="H108" s="15" t="s">
        <v>13</v>
      </c>
      <c r="I108" s="16">
        <v>4</v>
      </c>
      <c r="J108" s="17"/>
      <c r="K108" s="30">
        <v>5</v>
      </c>
      <c r="L108" s="17"/>
      <c r="N108" s="15" t="s">
        <v>13</v>
      </c>
      <c r="O108" s="16">
        <v>3</v>
      </c>
      <c r="P108" s="17"/>
      <c r="Q108" s="30">
        <v>4</v>
      </c>
      <c r="R108" s="17"/>
    </row>
    <row r="109" spans="2:18" x14ac:dyDescent="0.4">
      <c r="B109" s="13" t="s">
        <v>14</v>
      </c>
      <c r="C109" s="18">
        <v>5</v>
      </c>
      <c r="D109" s="19"/>
      <c r="E109" s="31">
        <v>5</v>
      </c>
      <c r="F109" s="19"/>
      <c r="H109" s="13" t="s">
        <v>14</v>
      </c>
      <c r="I109" s="18">
        <v>5</v>
      </c>
      <c r="J109" s="19"/>
      <c r="K109" s="31">
        <v>5</v>
      </c>
      <c r="L109" s="19"/>
      <c r="N109" s="13" t="s">
        <v>14</v>
      </c>
      <c r="O109" s="18">
        <v>5</v>
      </c>
      <c r="P109" s="19"/>
      <c r="Q109" s="31">
        <v>5</v>
      </c>
      <c r="R109" s="19"/>
    </row>
    <row r="110" spans="2:18" x14ac:dyDescent="0.4">
      <c r="B110" s="11" t="s">
        <v>8</v>
      </c>
      <c r="C110" s="2">
        <f>IF(ISBLANK(E103) = FALSE, (_xlfn.STDEV.P(D103:D107)^2+_xlfn.STDEV.P(F103:F107)^2)^(1/2), _xlfn.STDEV.P(D103:D107))</f>
        <v>5571355.3108736482</v>
      </c>
      <c r="D110" s="20" t="s">
        <v>4</v>
      </c>
      <c r="E110" s="21">
        <v>12</v>
      </c>
      <c r="F110" s="22"/>
      <c r="H110" s="11" t="s">
        <v>8</v>
      </c>
      <c r="I110" s="2">
        <f>IF(ISBLANK(K103) = FALSE, (_xlfn.STDEV.P(J103:J107)^2+_xlfn.STDEV.P(L103:L107)^2)^(1/2), _xlfn.STDEV.P(J103:J107))</f>
        <v>22992172.581119865</v>
      </c>
      <c r="J110" s="20" t="s">
        <v>4</v>
      </c>
      <c r="K110" s="21">
        <v>12</v>
      </c>
      <c r="L110" s="22"/>
      <c r="N110" s="11" t="s">
        <v>8</v>
      </c>
      <c r="O110" s="2">
        <f>IF(ISBLANK(Q103) = FALSE, (_xlfn.STDEV.P(P103:P107)^2+_xlfn.STDEV.P(R103:R107)^2)^(1/2), _xlfn.STDEV.P(P103:P107))</f>
        <v>6222539.6744416179</v>
      </c>
      <c r="P110" s="20" t="s">
        <v>4</v>
      </c>
      <c r="Q110" s="21">
        <v>12</v>
      </c>
      <c r="R110" s="22"/>
    </row>
    <row r="111" spans="2:18" x14ac:dyDescent="0.4">
      <c r="B111" s="11" t="s">
        <v>12</v>
      </c>
      <c r="C111" s="2">
        <f>IF(ISBLANK(E103) = FALSE, (AVERAGE(D103:D107)+AVERAGE(F103:F107))/2, AVERAGE(D103:D107))</f>
        <v>56400000</v>
      </c>
      <c r="D111" s="20" t="s">
        <v>16</v>
      </c>
      <c r="E111" s="23">
        <f>E$12+E110/24</f>
        <v>0.85416666666666674</v>
      </c>
      <c r="F111" s="24"/>
      <c r="H111" s="11" t="s">
        <v>12</v>
      </c>
      <c r="I111" s="2">
        <f>IF(ISBLANK(K103) = FALSE, (AVERAGE(J103:J107)+AVERAGE(L103:L107))/2, AVERAGE(J103:J107))</f>
        <v>61200000</v>
      </c>
      <c r="J111" s="20" t="s">
        <v>16</v>
      </c>
      <c r="K111" s="23">
        <f>K$12+K110/24</f>
        <v>0.85416666666666674</v>
      </c>
      <c r="L111" s="24"/>
      <c r="N111" s="11" t="s">
        <v>12</v>
      </c>
      <c r="O111" s="2">
        <f>IF(ISBLANK(Q103) = FALSE, (AVERAGE(P103:P107)+AVERAGE(R103:R107))/2, AVERAGE(P103:P107))</f>
        <v>43800000</v>
      </c>
      <c r="P111" s="20" t="s">
        <v>16</v>
      </c>
      <c r="Q111" s="23">
        <f>Q$12+Q110/24</f>
        <v>0.85416666666666674</v>
      </c>
      <c r="R111" s="24"/>
    </row>
    <row r="112" spans="2:18" ht="14.25" thickBot="1" x14ac:dyDescent="0.45">
      <c r="B112" s="25" t="s">
        <v>15</v>
      </c>
      <c r="C112" s="26">
        <f>IF(ISNUMBER(C100) = FALSE, C101, C101-0.1)</f>
        <v>4.1000000000000032</v>
      </c>
      <c r="D112" s="27" t="s">
        <v>17</v>
      </c>
      <c r="E112" s="28">
        <f>C111*C112</f>
        <v>231240000.00000018</v>
      </c>
      <c r="F112" s="29"/>
      <c r="H112" s="25" t="s">
        <v>15</v>
      </c>
      <c r="I112" s="26">
        <f>IF(ISNUMBER(I100) = FALSE, I101, I101-0.1)</f>
        <v>4.1000000000000032</v>
      </c>
      <c r="J112" s="27" t="s">
        <v>17</v>
      </c>
      <c r="K112" s="28">
        <f>I111*I112</f>
        <v>250920000.00000021</v>
      </c>
      <c r="L112" s="29"/>
      <c r="N112" s="25" t="s">
        <v>15</v>
      </c>
      <c r="O112" s="26">
        <f>IF(ISNUMBER(O100) = FALSE, O101, O101-0.1)</f>
        <v>4.1000000000000032</v>
      </c>
      <c r="P112" s="27" t="s">
        <v>17</v>
      </c>
      <c r="Q112" s="28">
        <f>O111*O112</f>
        <v>179580000.00000015</v>
      </c>
      <c r="R112" s="29"/>
    </row>
    <row r="113" spans="2:18" x14ac:dyDescent="0.4">
      <c r="B113" s="8">
        <v>11</v>
      </c>
      <c r="C113" s="9" t="s">
        <v>10</v>
      </c>
      <c r="D113" s="10" t="s">
        <v>11</v>
      </c>
      <c r="E113" s="9" t="s">
        <v>10</v>
      </c>
      <c r="F113" s="10" t="s">
        <v>11</v>
      </c>
      <c r="H113" s="8">
        <v>11</v>
      </c>
      <c r="I113" s="9" t="s">
        <v>10</v>
      </c>
      <c r="J113" s="10" t="s">
        <v>11</v>
      </c>
      <c r="K113" s="9" t="s">
        <v>10</v>
      </c>
      <c r="L113" s="10" t="s">
        <v>11</v>
      </c>
      <c r="N113" s="8">
        <v>11</v>
      </c>
      <c r="O113" s="9" t="s">
        <v>10</v>
      </c>
      <c r="P113" s="10" t="s">
        <v>11</v>
      </c>
      <c r="Q113" s="9" t="s">
        <v>10</v>
      </c>
      <c r="R113" s="10" t="s">
        <v>11</v>
      </c>
    </row>
    <row r="114" spans="2:18" x14ac:dyDescent="0.4">
      <c r="B114" s="11" t="s">
        <v>18</v>
      </c>
      <c r="C114" s="2">
        <v>83</v>
      </c>
      <c r="D114" s="12">
        <f>IF(ISNUMBER(C114) = TRUE, C114*10^C119*1000/C120, "N/A")</f>
        <v>166000000</v>
      </c>
      <c r="E114" s="2">
        <v>9</v>
      </c>
      <c r="F114" s="12">
        <f>IF(ISNUMBER(E114) = TRUE, E114*10^E119*1000/E120, "N/A")</f>
        <v>180000000</v>
      </c>
      <c r="H114" s="11" t="s">
        <v>18</v>
      </c>
      <c r="I114" s="2">
        <v>83</v>
      </c>
      <c r="J114" s="12">
        <f>IF(ISNUMBER(I114) = TRUE, I114*10^I119*1000/I120, "N/A")</f>
        <v>166000000</v>
      </c>
      <c r="K114" s="2">
        <v>7</v>
      </c>
      <c r="L114" s="12">
        <f>IF(ISNUMBER(K114) = TRUE, K114*10^K119*1000/K120, "N/A")</f>
        <v>140000000</v>
      </c>
      <c r="N114" s="11" t="s">
        <v>18</v>
      </c>
      <c r="O114" s="2">
        <v>67</v>
      </c>
      <c r="P114" s="12">
        <f>IF(ISNUMBER(O114) = TRUE, O114*10^O119*1000/O120, "N/A")</f>
        <v>134000000</v>
      </c>
      <c r="Q114" s="2">
        <v>7</v>
      </c>
      <c r="R114" s="12">
        <f>IF(ISNUMBER(Q114) = TRUE, Q114*10^Q119*1000/Q120, "N/A")</f>
        <v>140000000</v>
      </c>
    </row>
    <row r="115" spans="2:18" x14ac:dyDescent="0.4">
      <c r="B115" s="11" t="s">
        <v>19</v>
      </c>
      <c r="C115" s="2">
        <v>76</v>
      </c>
      <c r="D115" s="12">
        <f>IF(ISNUMBER(C115) = TRUE, C115*10^C119*1000/C120, "N/A")</f>
        <v>152000000</v>
      </c>
      <c r="E115" s="2">
        <v>6</v>
      </c>
      <c r="F115" s="12">
        <f>IF(ISNUMBER(E115) = TRUE, E115*10^E119*1000/E120, "N/A")</f>
        <v>120000000</v>
      </c>
      <c r="H115" s="11" t="s">
        <v>19</v>
      </c>
      <c r="I115" s="2">
        <v>96</v>
      </c>
      <c r="J115" s="12">
        <f>IF(ISNUMBER(I115) = TRUE, I115*10^I119*1000/I120, "N/A")</f>
        <v>192000000</v>
      </c>
      <c r="K115" s="2">
        <v>10</v>
      </c>
      <c r="L115" s="12">
        <f>IF(ISNUMBER(K115) = TRUE, K115*10^K119*1000/K120, "N/A")</f>
        <v>200000000</v>
      </c>
      <c r="N115" s="11" t="s">
        <v>19</v>
      </c>
      <c r="O115" s="2">
        <v>69</v>
      </c>
      <c r="P115" s="12">
        <f>IF(ISNUMBER(O115) = TRUE, O115*10^O119*1000/O120, "N/A")</f>
        <v>138000000</v>
      </c>
      <c r="Q115" s="2">
        <v>6</v>
      </c>
      <c r="R115" s="12">
        <f>IF(ISNUMBER(Q115) = TRUE, Q115*10^Q119*1000/Q120, "N/A")</f>
        <v>120000000</v>
      </c>
    </row>
    <row r="116" spans="2:18" x14ac:dyDescent="0.4">
      <c r="B116" s="11" t="s">
        <v>20</v>
      </c>
      <c r="C116" s="2">
        <v>85</v>
      </c>
      <c r="D116" s="12">
        <f>IF(ISNUMBER(C116) = TRUE, C116*10^C119*1000/C120, "N/A")</f>
        <v>170000000</v>
      </c>
      <c r="E116" s="2">
        <v>9</v>
      </c>
      <c r="F116" s="12">
        <f>IF(ISNUMBER(E116) = TRUE, E116*10^E119*1000/E120, "N/A")</f>
        <v>180000000</v>
      </c>
      <c r="H116" s="11" t="s">
        <v>20</v>
      </c>
      <c r="I116" s="2">
        <v>85</v>
      </c>
      <c r="J116" s="12">
        <f>IF(ISNUMBER(I116) = TRUE, I116*10^I119*1000/I120, "N/A")</f>
        <v>170000000</v>
      </c>
      <c r="K116" s="2">
        <v>9</v>
      </c>
      <c r="L116" s="12">
        <f>IF(ISNUMBER(K116) = TRUE, K116*10^K119*1000/K120, "N/A")</f>
        <v>180000000</v>
      </c>
      <c r="N116" s="11" t="s">
        <v>20</v>
      </c>
      <c r="O116" s="2">
        <v>55</v>
      </c>
      <c r="P116" s="12">
        <f>IF(ISNUMBER(O116) = TRUE, O116*10^O119*1000/O120, "N/A")</f>
        <v>110000000</v>
      </c>
      <c r="Q116" s="2">
        <v>5</v>
      </c>
      <c r="R116" s="12">
        <f>IF(ISNUMBER(Q116) = TRUE, Q116*10^Q119*1000/Q120, "N/A")</f>
        <v>100000000</v>
      </c>
    </row>
    <row r="117" spans="2:18" x14ac:dyDescent="0.4">
      <c r="B117" s="11" t="s">
        <v>21</v>
      </c>
      <c r="C117" s="2">
        <v>66</v>
      </c>
      <c r="D117" s="12">
        <f>IF(ISNUMBER(C117) = TRUE, C117*10^C119*1000/C120, "N/A")</f>
        <v>132000000</v>
      </c>
      <c r="E117" s="2">
        <v>6</v>
      </c>
      <c r="F117" s="12">
        <f>IF(ISNUMBER(E117) = TRUE, E117*10^E119*1000/E120, "N/A")</f>
        <v>120000000</v>
      </c>
      <c r="H117" s="11" t="s">
        <v>21</v>
      </c>
      <c r="I117" s="2">
        <v>76</v>
      </c>
      <c r="J117" s="12">
        <f>IF(ISNUMBER(I117) = TRUE, I117*10^I119*1000/I120, "N/A")</f>
        <v>152000000</v>
      </c>
      <c r="K117" s="2">
        <v>8</v>
      </c>
      <c r="L117" s="12">
        <f>IF(ISNUMBER(K117) = TRUE, K117*10^K119*1000/K120, "N/A")</f>
        <v>160000000</v>
      </c>
      <c r="N117" s="11" t="s">
        <v>21</v>
      </c>
      <c r="O117" s="2">
        <v>76</v>
      </c>
      <c r="P117" s="12">
        <f>IF(ISNUMBER(O117) = TRUE, O117*10^O119*1000/O120, "N/A")</f>
        <v>152000000</v>
      </c>
      <c r="Q117" s="2">
        <v>8</v>
      </c>
      <c r="R117" s="12">
        <f>IF(ISNUMBER(Q117) = TRUE, Q117*10^Q119*1000/Q120, "N/A")</f>
        <v>160000000</v>
      </c>
    </row>
    <row r="118" spans="2:18" x14ac:dyDescent="0.4">
      <c r="B118" s="13" t="s">
        <v>22</v>
      </c>
      <c r="C118" s="14">
        <v>94</v>
      </c>
      <c r="D118" s="12">
        <f>IF(ISNUMBER(C118) = TRUE, C118*10^C119*1000/C120, "N/A")</f>
        <v>188000000</v>
      </c>
      <c r="E118" s="14">
        <v>6</v>
      </c>
      <c r="F118" s="12">
        <f>IF(ISNUMBER(E118) = TRUE, E118*10^E119*1000/E120, "N/A")</f>
        <v>120000000</v>
      </c>
      <c r="H118" s="13" t="s">
        <v>22</v>
      </c>
      <c r="I118" s="14">
        <v>93</v>
      </c>
      <c r="J118" s="12">
        <f>IF(ISNUMBER(I118) = TRUE, I118*10^I119*1000/I120, "N/A")</f>
        <v>186000000</v>
      </c>
      <c r="K118" s="14">
        <v>9</v>
      </c>
      <c r="L118" s="12">
        <f>IF(ISNUMBER(K118) = TRUE, K118*10^K119*1000/K120, "N/A")</f>
        <v>180000000</v>
      </c>
      <c r="N118" s="13" t="s">
        <v>22</v>
      </c>
      <c r="O118" s="14">
        <v>64</v>
      </c>
      <c r="P118" s="12">
        <f>IF(ISNUMBER(O118) = TRUE, O118*10^O119*1000/O120, "N/A")</f>
        <v>128000000</v>
      </c>
      <c r="Q118" s="14">
        <v>6</v>
      </c>
      <c r="R118" s="12">
        <f>IF(ISNUMBER(Q118) = TRUE, Q118*10^Q119*1000/Q120, "N/A")</f>
        <v>120000000</v>
      </c>
    </row>
    <row r="119" spans="2:18" x14ac:dyDescent="0.4">
      <c r="B119" s="15" t="s">
        <v>13</v>
      </c>
      <c r="C119" s="16">
        <v>4</v>
      </c>
      <c r="D119" s="17"/>
      <c r="E119" s="30">
        <v>5</v>
      </c>
      <c r="F119" s="17"/>
      <c r="H119" s="15" t="s">
        <v>13</v>
      </c>
      <c r="I119" s="16">
        <v>4</v>
      </c>
      <c r="J119" s="17"/>
      <c r="K119" s="30">
        <v>5</v>
      </c>
      <c r="L119" s="17"/>
      <c r="N119" s="15" t="s">
        <v>13</v>
      </c>
      <c r="O119" s="16">
        <v>4</v>
      </c>
      <c r="P119" s="17"/>
      <c r="Q119" s="30">
        <v>5</v>
      </c>
      <c r="R119" s="17"/>
    </row>
    <row r="120" spans="2:18" x14ac:dyDescent="0.4">
      <c r="B120" s="13" t="s">
        <v>14</v>
      </c>
      <c r="C120" s="18">
        <v>5</v>
      </c>
      <c r="D120" s="19"/>
      <c r="E120" s="31">
        <v>5</v>
      </c>
      <c r="F120" s="19"/>
      <c r="H120" s="13" t="s">
        <v>14</v>
      </c>
      <c r="I120" s="18">
        <v>5</v>
      </c>
      <c r="J120" s="19"/>
      <c r="K120" s="31">
        <v>5</v>
      </c>
      <c r="L120" s="19"/>
      <c r="N120" s="13" t="s">
        <v>14</v>
      </c>
      <c r="O120" s="18">
        <v>5</v>
      </c>
      <c r="P120" s="19"/>
      <c r="Q120" s="31">
        <v>5</v>
      </c>
      <c r="R120" s="19"/>
    </row>
    <row r="121" spans="2:18" x14ac:dyDescent="0.4">
      <c r="B121" s="11" t="s">
        <v>8</v>
      </c>
      <c r="C121" s="2">
        <f>IF(ISBLANK(E114) = FALSE, (_xlfn.STDEV.P(D114:D118)^2+_xlfn.STDEV.P(F114:F118)^2)^(1/2), _xlfn.STDEV.P(D114:D118))</f>
        <v>34857423.886454947</v>
      </c>
      <c r="D121" s="20" t="s">
        <v>4</v>
      </c>
      <c r="E121" s="21">
        <v>18</v>
      </c>
      <c r="F121" s="22"/>
      <c r="H121" s="11" t="s">
        <v>8</v>
      </c>
      <c r="I121" s="2">
        <f>IF(ISBLANK(K114) = FALSE, (_xlfn.STDEV.P(J114:J118)^2+_xlfn.STDEV.P(L114:L118)^2)^(1/2), _xlfn.STDEV.P(J114:J118))</f>
        <v>24935115.800813921</v>
      </c>
      <c r="J121" s="20" t="s">
        <v>4</v>
      </c>
      <c r="K121" s="21">
        <v>18</v>
      </c>
      <c r="L121" s="22"/>
      <c r="N121" s="11" t="s">
        <v>8</v>
      </c>
      <c r="O121" s="2">
        <f>IF(ISBLANK(Q114) = FALSE, (_xlfn.STDEV.P(P114:P118)^2+_xlfn.STDEV.P(R114:R118)^2)^(1/2), _xlfn.STDEV.P(P114:P118))</f>
        <v>24573156.085452273</v>
      </c>
      <c r="P121" s="20" t="s">
        <v>4</v>
      </c>
      <c r="Q121" s="21">
        <v>18</v>
      </c>
      <c r="R121" s="22"/>
    </row>
    <row r="122" spans="2:18" x14ac:dyDescent="0.4">
      <c r="B122" s="11" t="s">
        <v>12</v>
      </c>
      <c r="C122" s="2">
        <f>IF(ISBLANK(E114) = FALSE, (AVERAGE(D114:D118)+AVERAGE(F114:F118))/2, AVERAGE(D114:D118))</f>
        <v>152800000</v>
      </c>
      <c r="D122" s="20" t="s">
        <v>16</v>
      </c>
      <c r="E122" s="23">
        <f>E$12+E121/24</f>
        <v>1.1041666666666667</v>
      </c>
      <c r="F122" s="24"/>
      <c r="H122" s="11" t="s">
        <v>12</v>
      </c>
      <c r="I122" s="2">
        <f>IF(ISBLANK(K114) = FALSE, (AVERAGE(J114:J118)+AVERAGE(L114:L118))/2, AVERAGE(J114:J118))</f>
        <v>172600000</v>
      </c>
      <c r="J122" s="20" t="s">
        <v>16</v>
      </c>
      <c r="K122" s="23">
        <f>K$12+K121/24</f>
        <v>1.1041666666666667</v>
      </c>
      <c r="L122" s="24"/>
      <c r="N122" s="11" t="s">
        <v>12</v>
      </c>
      <c r="O122" s="2">
        <f>IF(ISBLANK(Q114) = FALSE, (AVERAGE(P114:P118)+AVERAGE(R114:R118))/2, AVERAGE(P114:P118))</f>
        <v>130200000</v>
      </c>
      <c r="P122" s="20" t="s">
        <v>16</v>
      </c>
      <c r="Q122" s="23">
        <f>Q$12+Q121/24</f>
        <v>1.1041666666666667</v>
      </c>
      <c r="R122" s="24"/>
    </row>
    <row r="123" spans="2:18" ht="14.25" thickBot="1" x14ac:dyDescent="0.45">
      <c r="B123" s="25" t="s">
        <v>15</v>
      </c>
      <c r="C123" s="26">
        <f>IF(ISNUMBER(C111) = FALSE, C112, C112-0.1)</f>
        <v>4.0000000000000036</v>
      </c>
      <c r="D123" s="27" t="s">
        <v>17</v>
      </c>
      <c r="E123" s="28">
        <f>C122*C123</f>
        <v>611200000.0000006</v>
      </c>
      <c r="F123" s="29"/>
      <c r="H123" s="25" t="s">
        <v>15</v>
      </c>
      <c r="I123" s="26">
        <f>IF(ISNUMBER(I111) = FALSE, I112, I112-0.1)</f>
        <v>4.0000000000000036</v>
      </c>
      <c r="J123" s="27" t="s">
        <v>17</v>
      </c>
      <c r="K123" s="28">
        <f>I122*I123</f>
        <v>690400000.0000006</v>
      </c>
      <c r="L123" s="29"/>
      <c r="N123" s="25" t="s">
        <v>15</v>
      </c>
      <c r="O123" s="26">
        <f>IF(ISNUMBER(O111) = FALSE, O112, O112-0.1)</f>
        <v>4.0000000000000036</v>
      </c>
      <c r="P123" s="27" t="s">
        <v>17</v>
      </c>
      <c r="Q123" s="28">
        <f>O122*O123</f>
        <v>520800000.00000048</v>
      </c>
      <c r="R123" s="29"/>
    </row>
    <row r="124" spans="2:18" x14ac:dyDescent="0.4">
      <c r="B124" s="8">
        <v>12</v>
      </c>
      <c r="C124" s="9" t="s">
        <v>10</v>
      </c>
      <c r="D124" s="10" t="s">
        <v>11</v>
      </c>
      <c r="E124" s="9" t="s">
        <v>10</v>
      </c>
      <c r="F124" s="10" t="s">
        <v>11</v>
      </c>
      <c r="H124" s="8">
        <v>12</v>
      </c>
      <c r="I124" s="9" t="s">
        <v>10</v>
      </c>
      <c r="J124" s="10" t="s">
        <v>11</v>
      </c>
      <c r="K124" s="9" t="s">
        <v>10</v>
      </c>
      <c r="L124" s="10" t="s">
        <v>11</v>
      </c>
      <c r="N124" s="8">
        <v>12</v>
      </c>
      <c r="O124" s="9" t="s">
        <v>10</v>
      </c>
      <c r="P124" s="10" t="s">
        <v>11</v>
      </c>
      <c r="Q124" s="9" t="s">
        <v>10</v>
      </c>
      <c r="R124" s="10" t="s">
        <v>11</v>
      </c>
    </row>
    <row r="125" spans="2:18" x14ac:dyDescent="0.4">
      <c r="B125" s="11" t="s">
        <v>18</v>
      </c>
      <c r="C125" s="2">
        <v>133</v>
      </c>
      <c r="D125" s="12">
        <f>IF(ISNUMBER(C125) = TRUE, C125*10^C130*1000/C131, "N/A")</f>
        <v>266000000</v>
      </c>
      <c r="E125" s="2">
        <v>12</v>
      </c>
      <c r="F125" s="12">
        <f>IF(ISNUMBER(E125) = TRUE, E125*10^E130*1000/E131, "N/A")</f>
        <v>240000000</v>
      </c>
      <c r="H125" s="11" t="s">
        <v>18</v>
      </c>
      <c r="I125" s="2">
        <v>140</v>
      </c>
      <c r="J125" s="12">
        <f>IF(ISNUMBER(I125) = TRUE, I125*10^I130*1000/I131, "N/A")</f>
        <v>280000000</v>
      </c>
      <c r="K125" s="2">
        <v>13</v>
      </c>
      <c r="L125" s="12">
        <f>IF(ISNUMBER(K125) = TRUE, K125*10^K130*1000/K131, "N/A")</f>
        <v>260000000</v>
      </c>
      <c r="N125" s="11" t="s">
        <v>18</v>
      </c>
      <c r="O125" s="2">
        <v>162</v>
      </c>
      <c r="P125" s="12">
        <f>IF(ISNUMBER(O125) = TRUE, O125*10^O130*1000/O131, "N/A")</f>
        <v>324000000</v>
      </c>
      <c r="Q125" s="2">
        <v>14</v>
      </c>
      <c r="R125" s="12">
        <f>IF(ISNUMBER(Q125) = TRUE, Q125*10^Q130*1000/Q131, "N/A")</f>
        <v>280000000</v>
      </c>
    </row>
    <row r="126" spans="2:18" x14ac:dyDescent="0.4">
      <c r="B126" s="11" t="s">
        <v>19</v>
      </c>
      <c r="C126" s="2">
        <v>113</v>
      </c>
      <c r="D126" s="12">
        <f>IF(ISNUMBER(C126) = TRUE, C126*10^C130*1000/C131, "N/A")</f>
        <v>226000000</v>
      </c>
      <c r="E126" s="2">
        <v>13</v>
      </c>
      <c r="F126" s="12">
        <f>IF(ISNUMBER(E126) = TRUE, E126*10^E130*1000/E131, "N/A")</f>
        <v>260000000</v>
      </c>
      <c r="H126" s="11" t="s">
        <v>19</v>
      </c>
      <c r="I126" s="2">
        <v>132</v>
      </c>
      <c r="J126" s="12">
        <f>IF(ISNUMBER(I126) = TRUE, I126*10^I130*1000/I131, "N/A")</f>
        <v>264000000</v>
      </c>
      <c r="K126" s="2">
        <v>11</v>
      </c>
      <c r="L126" s="12">
        <f>IF(ISNUMBER(K126) = TRUE, K126*10^K130*1000/K131, "N/A")</f>
        <v>220000000</v>
      </c>
      <c r="N126" s="11" t="s">
        <v>19</v>
      </c>
      <c r="O126" s="2">
        <v>169</v>
      </c>
      <c r="P126" s="12">
        <f>IF(ISNUMBER(O126) = TRUE, O126*10^O130*1000/O131, "N/A")</f>
        <v>338000000</v>
      </c>
      <c r="Q126" s="2">
        <v>15</v>
      </c>
      <c r="R126" s="12">
        <f>IF(ISNUMBER(Q126) = TRUE, Q126*10^Q130*1000/Q131, "N/A")</f>
        <v>300000000</v>
      </c>
    </row>
    <row r="127" spans="2:18" x14ac:dyDescent="0.4">
      <c r="B127" s="11" t="s">
        <v>20</v>
      </c>
      <c r="C127" s="2">
        <v>129</v>
      </c>
      <c r="D127" s="12">
        <f>IF(ISNUMBER(C127) = TRUE, C127*10^C130*1000/C131, "N/A")</f>
        <v>258000000</v>
      </c>
      <c r="E127" s="2">
        <v>14</v>
      </c>
      <c r="F127" s="12">
        <f>IF(ISNUMBER(E127) = TRUE, E127*10^E130*1000/E131, "N/A")</f>
        <v>280000000</v>
      </c>
      <c r="H127" s="11" t="s">
        <v>20</v>
      </c>
      <c r="I127" s="2">
        <v>124</v>
      </c>
      <c r="J127" s="12">
        <f>IF(ISNUMBER(I127) = TRUE, I127*10^I130*1000/I131, "N/A")</f>
        <v>248000000</v>
      </c>
      <c r="K127" s="2">
        <v>13</v>
      </c>
      <c r="L127" s="12">
        <f>IF(ISNUMBER(K127) = TRUE, K127*10^K130*1000/K131, "N/A")</f>
        <v>260000000</v>
      </c>
      <c r="N127" s="11" t="s">
        <v>20</v>
      </c>
      <c r="O127" s="2">
        <v>145</v>
      </c>
      <c r="P127" s="12">
        <f>IF(ISNUMBER(O127) = TRUE, O127*10^O130*1000/O131, "N/A")</f>
        <v>290000000</v>
      </c>
      <c r="Q127" s="2">
        <v>14</v>
      </c>
      <c r="R127" s="12">
        <f>IF(ISNUMBER(Q127) = TRUE, Q127*10^Q130*1000/Q131, "N/A")</f>
        <v>280000000</v>
      </c>
    </row>
    <row r="128" spans="2:18" x14ac:dyDescent="0.4">
      <c r="B128" s="11" t="s">
        <v>21</v>
      </c>
      <c r="C128" s="2">
        <v>128</v>
      </c>
      <c r="D128" s="12">
        <f>IF(ISNUMBER(C128) = TRUE, C128*10^C130*1000/C131, "N/A")</f>
        <v>256000000</v>
      </c>
      <c r="E128" s="2">
        <v>12</v>
      </c>
      <c r="F128" s="12">
        <f>IF(ISNUMBER(E128) = TRUE, E128*10^E130*1000/E131, "N/A")</f>
        <v>240000000</v>
      </c>
      <c r="H128" s="11" t="s">
        <v>21</v>
      </c>
      <c r="I128" s="2">
        <v>132</v>
      </c>
      <c r="J128" s="12">
        <f>IF(ISNUMBER(I128) = TRUE, I128*10^I130*1000/I131, "N/A")</f>
        <v>264000000</v>
      </c>
      <c r="K128" s="2">
        <v>15</v>
      </c>
      <c r="L128" s="12">
        <f>IF(ISNUMBER(K128) = TRUE, K128*10^K130*1000/K131, "N/A")</f>
        <v>300000000</v>
      </c>
      <c r="N128" s="11" t="s">
        <v>21</v>
      </c>
      <c r="O128" s="2">
        <v>158</v>
      </c>
      <c r="P128" s="12">
        <f>IF(ISNUMBER(O128) = TRUE, O128*10^O130*1000/O131, "N/A")</f>
        <v>316000000</v>
      </c>
      <c r="Q128" s="2">
        <v>12</v>
      </c>
      <c r="R128" s="12">
        <f>IF(ISNUMBER(Q128) = TRUE, Q128*10^Q130*1000/Q131, "N/A")</f>
        <v>240000000</v>
      </c>
    </row>
    <row r="129" spans="2:18" x14ac:dyDescent="0.4">
      <c r="B129" s="13" t="s">
        <v>22</v>
      </c>
      <c r="C129" s="14">
        <v>131</v>
      </c>
      <c r="D129" s="12">
        <f>IF(ISNUMBER(C129) = TRUE, C129*10^C130*1000/C131, "N/A")</f>
        <v>262000000</v>
      </c>
      <c r="E129" s="14"/>
      <c r="F129" s="12" t="str">
        <f>IF(ISNUMBER(E129) = TRUE, E129*10^E130*1000/E131, "N/A")</f>
        <v>N/A</v>
      </c>
      <c r="H129" s="13" t="s">
        <v>22</v>
      </c>
      <c r="I129" s="14">
        <v>139</v>
      </c>
      <c r="J129" s="12">
        <f>IF(ISNUMBER(I129) = TRUE, I129*10^I130*1000/I131, "N/A")</f>
        <v>278000000</v>
      </c>
      <c r="K129" s="14">
        <v>14</v>
      </c>
      <c r="L129" s="12">
        <f>IF(ISNUMBER(K129) = TRUE, K129*10^K130*1000/K131, "N/A")</f>
        <v>280000000</v>
      </c>
      <c r="N129" s="13" t="s">
        <v>22</v>
      </c>
      <c r="O129" s="14">
        <v>149</v>
      </c>
      <c r="P129" s="12">
        <f>IF(ISNUMBER(O129) = TRUE, O129*10^O130*1000/O131, "N/A")</f>
        <v>298000000</v>
      </c>
      <c r="Q129" s="14">
        <v>13</v>
      </c>
      <c r="R129" s="12">
        <f>IF(ISNUMBER(Q129) = TRUE, Q129*10^Q130*1000/Q131, "N/A")</f>
        <v>260000000</v>
      </c>
    </row>
    <row r="130" spans="2:18" x14ac:dyDescent="0.4">
      <c r="B130" s="15" t="s">
        <v>13</v>
      </c>
      <c r="C130" s="16">
        <v>4</v>
      </c>
      <c r="D130" s="17"/>
      <c r="E130" s="30">
        <v>5</v>
      </c>
      <c r="F130" s="17"/>
      <c r="H130" s="15" t="s">
        <v>13</v>
      </c>
      <c r="I130" s="16">
        <v>4</v>
      </c>
      <c r="J130" s="17"/>
      <c r="K130" s="30">
        <v>5</v>
      </c>
      <c r="L130" s="17"/>
      <c r="N130" s="15" t="s">
        <v>13</v>
      </c>
      <c r="O130" s="16">
        <v>4</v>
      </c>
      <c r="P130" s="17"/>
      <c r="Q130" s="30">
        <v>5</v>
      </c>
      <c r="R130" s="17"/>
    </row>
    <row r="131" spans="2:18" x14ac:dyDescent="0.4">
      <c r="B131" s="13" t="s">
        <v>14</v>
      </c>
      <c r="C131" s="18">
        <v>5</v>
      </c>
      <c r="D131" s="19"/>
      <c r="E131" s="31">
        <v>5</v>
      </c>
      <c r="F131" s="19"/>
      <c r="H131" s="13" t="s">
        <v>14</v>
      </c>
      <c r="I131" s="18">
        <v>5</v>
      </c>
      <c r="J131" s="19"/>
      <c r="K131" s="31">
        <v>5</v>
      </c>
      <c r="L131" s="19"/>
      <c r="N131" s="13" t="s">
        <v>14</v>
      </c>
      <c r="O131" s="18">
        <v>5</v>
      </c>
      <c r="P131" s="19"/>
      <c r="Q131" s="31">
        <v>5</v>
      </c>
      <c r="R131" s="19"/>
    </row>
    <row r="132" spans="2:18" x14ac:dyDescent="0.4">
      <c r="B132" s="11" t="s">
        <v>8</v>
      </c>
      <c r="C132" s="2">
        <f>IF(ISBLANK(E125) = FALSE, (_xlfn.STDEV.P(D125:D129)^2+_xlfn.STDEV.P(F125:F129)^2)^(1/2), _xlfn.STDEV.P(D125:D129))</f>
        <v>21845823.39945098</v>
      </c>
      <c r="D132" s="20" t="s">
        <v>4</v>
      </c>
      <c r="E132" s="21">
        <v>24</v>
      </c>
      <c r="F132" s="22"/>
      <c r="H132" s="11" t="s">
        <v>8</v>
      </c>
      <c r="I132" s="2">
        <f>IF(ISBLANK(K125) = FALSE, (_xlfn.STDEV.P(J125:J129)^2+_xlfn.STDEV.P(L125:L129)^2)^(1/2), _xlfn.STDEV.P(J125:J129))</f>
        <v>28944084.024200868</v>
      </c>
      <c r="J132" s="20" t="s">
        <v>4</v>
      </c>
      <c r="K132" s="21">
        <v>24</v>
      </c>
      <c r="L132" s="22"/>
      <c r="N132" s="11" t="s">
        <v>8</v>
      </c>
      <c r="O132" s="2">
        <f>IF(ISBLANK(Q125) = FALSE, (_xlfn.STDEV.P(P125:P129)^2+_xlfn.STDEV.P(R125:R129)^2)^(1/2), _xlfn.STDEV.P(P125:P129))</f>
        <v>26791043.279424563</v>
      </c>
      <c r="P132" s="20" t="s">
        <v>4</v>
      </c>
      <c r="Q132" s="21">
        <v>24</v>
      </c>
      <c r="R132" s="22"/>
    </row>
    <row r="133" spans="2:18" x14ac:dyDescent="0.4">
      <c r="B133" s="11" t="s">
        <v>12</v>
      </c>
      <c r="C133" s="2">
        <f>IF(ISBLANK(E125) = FALSE, (AVERAGE(D125:D129)+AVERAGE(F125:F129))/2, AVERAGE(D125:D129))</f>
        <v>254300000</v>
      </c>
      <c r="D133" s="20" t="s">
        <v>16</v>
      </c>
      <c r="E133" s="23">
        <f>E$12+E132/24</f>
        <v>1.3541666666666667</v>
      </c>
      <c r="F133" s="24"/>
      <c r="H133" s="11" t="s">
        <v>12</v>
      </c>
      <c r="I133" s="2">
        <f>IF(ISBLANK(K125) = FALSE, (AVERAGE(J125:J129)+AVERAGE(L125:L129))/2, AVERAGE(J125:J129))</f>
        <v>265400000</v>
      </c>
      <c r="J133" s="20" t="s">
        <v>16</v>
      </c>
      <c r="K133" s="23">
        <f>K$12+K132/24</f>
        <v>1.3541666666666667</v>
      </c>
      <c r="L133" s="24"/>
      <c r="N133" s="11" t="s">
        <v>12</v>
      </c>
      <c r="O133" s="2">
        <f>IF(ISBLANK(Q125) = FALSE, (AVERAGE(P125:P129)+AVERAGE(R125:R129))/2, AVERAGE(P125:P129))</f>
        <v>292600000</v>
      </c>
      <c r="P133" s="20" t="s">
        <v>16</v>
      </c>
      <c r="Q133" s="23">
        <f>Q$12+Q132/24</f>
        <v>1.3541666666666667</v>
      </c>
      <c r="R133" s="24"/>
    </row>
    <row r="134" spans="2:18" ht="14.25" thickBot="1" x14ac:dyDescent="0.45">
      <c r="B134" s="25" t="s">
        <v>15</v>
      </c>
      <c r="C134" s="26">
        <f>IF(ISNUMBER(C122) = FALSE, C123, C123-0.1)</f>
        <v>3.9000000000000035</v>
      </c>
      <c r="D134" s="27" t="s">
        <v>17</v>
      </c>
      <c r="E134" s="28">
        <f>C133*C134</f>
        <v>991770000.00000083</v>
      </c>
      <c r="F134" s="29"/>
      <c r="H134" s="25" t="s">
        <v>15</v>
      </c>
      <c r="I134" s="26">
        <f>IF(ISNUMBER(I122) = FALSE, I123, I123-0.1)</f>
        <v>3.9000000000000035</v>
      </c>
      <c r="J134" s="27" t="s">
        <v>17</v>
      </c>
      <c r="K134" s="28">
        <f>I133*I134</f>
        <v>1035060000.000001</v>
      </c>
      <c r="L134" s="29"/>
      <c r="N134" s="25" t="s">
        <v>15</v>
      </c>
      <c r="O134" s="26">
        <f>IF(ISNUMBER(O122) = FALSE, O123, O123-0.1)</f>
        <v>3.9000000000000035</v>
      </c>
      <c r="P134" s="27" t="s">
        <v>17</v>
      </c>
      <c r="Q134" s="28">
        <f>O133*O134</f>
        <v>1141140000.000001</v>
      </c>
      <c r="R134" s="29"/>
    </row>
    <row r="135" spans="2:18" x14ac:dyDescent="0.4">
      <c r="B135" s="8">
        <v>13</v>
      </c>
      <c r="C135" s="9" t="s">
        <v>10</v>
      </c>
      <c r="D135" s="10" t="s">
        <v>11</v>
      </c>
      <c r="E135" s="9" t="s">
        <v>10</v>
      </c>
      <c r="F135" s="10" t="s">
        <v>11</v>
      </c>
      <c r="H135" s="8">
        <v>13</v>
      </c>
      <c r="I135" s="9" t="s">
        <v>10</v>
      </c>
      <c r="J135" s="10" t="s">
        <v>11</v>
      </c>
      <c r="K135" s="9" t="s">
        <v>10</v>
      </c>
      <c r="L135" s="10" t="s">
        <v>11</v>
      </c>
      <c r="N135" s="8">
        <v>13</v>
      </c>
      <c r="O135" s="9" t="s">
        <v>10</v>
      </c>
      <c r="P135" s="10" t="s">
        <v>11</v>
      </c>
      <c r="Q135" s="9" t="s">
        <v>10</v>
      </c>
      <c r="R135" s="10" t="s">
        <v>11</v>
      </c>
    </row>
    <row r="136" spans="2:18" x14ac:dyDescent="0.4">
      <c r="B136" s="11" t="s">
        <v>18</v>
      </c>
      <c r="C136" s="2">
        <v>201</v>
      </c>
      <c r="D136" s="12">
        <f>IF(ISNUMBER(C136) = TRUE, C136*10^C141*1000/C142, "N/A")</f>
        <v>402000000</v>
      </c>
      <c r="E136" s="2">
        <v>19</v>
      </c>
      <c r="F136" s="12">
        <f>IF(ISNUMBER(E136) = TRUE, E136*10^E141*1000/E142, "N/A")</f>
        <v>380000000</v>
      </c>
      <c r="H136" s="11" t="s">
        <v>18</v>
      </c>
      <c r="I136" s="2">
        <v>138</v>
      </c>
      <c r="J136" s="12">
        <f>IF(ISNUMBER(I136) = TRUE, I136*10^I141*1000/I142, "N/A")</f>
        <v>276000000</v>
      </c>
      <c r="K136" s="2">
        <v>10</v>
      </c>
      <c r="L136" s="12">
        <f>IF(ISNUMBER(K136) = TRUE, K136*10^K141*1000/K142, "N/A")</f>
        <v>200000000</v>
      </c>
      <c r="N136" s="11" t="s">
        <v>18</v>
      </c>
      <c r="O136" s="2">
        <v>175</v>
      </c>
      <c r="P136" s="12">
        <f>IF(ISNUMBER(O136) = TRUE, O136*10^O141*1000/O142, "N/A")</f>
        <v>350000000</v>
      </c>
      <c r="Q136" s="2">
        <v>19</v>
      </c>
      <c r="R136" s="12">
        <f>IF(ISNUMBER(Q136) = TRUE, Q136*10^Q141*1000/Q142, "N/A")</f>
        <v>380000000</v>
      </c>
    </row>
    <row r="137" spans="2:18" x14ac:dyDescent="0.4">
      <c r="B137" s="11" t="s">
        <v>19</v>
      </c>
      <c r="C137" s="2">
        <v>193</v>
      </c>
      <c r="D137" s="12">
        <f>IF(ISNUMBER(C137) = TRUE, C137*10^C141*1000/C142, "N/A")</f>
        <v>386000000</v>
      </c>
      <c r="E137" s="2">
        <v>17</v>
      </c>
      <c r="F137" s="12">
        <f>IF(ISNUMBER(E137) = TRUE, E137*10^E141*1000/E142, "N/A")</f>
        <v>340000000</v>
      </c>
      <c r="H137" s="11" t="s">
        <v>19</v>
      </c>
      <c r="I137" s="2">
        <v>145</v>
      </c>
      <c r="J137" s="12">
        <f>IF(ISNUMBER(I137) = TRUE, I137*10^I141*1000/I142, "N/A")</f>
        <v>290000000</v>
      </c>
      <c r="K137" s="2">
        <v>13</v>
      </c>
      <c r="L137" s="12">
        <f>IF(ISNUMBER(K137) = TRUE, K137*10^K141*1000/K142, "N/A")</f>
        <v>260000000</v>
      </c>
      <c r="N137" s="11" t="s">
        <v>19</v>
      </c>
      <c r="O137" s="2">
        <v>193</v>
      </c>
      <c r="P137" s="12">
        <f>IF(ISNUMBER(O137) = TRUE, O137*10^O141*1000/O142, "N/A")</f>
        <v>386000000</v>
      </c>
      <c r="Q137" s="2">
        <v>17</v>
      </c>
      <c r="R137" s="12">
        <f>IF(ISNUMBER(Q137) = TRUE, Q137*10^Q141*1000/Q142, "N/A")</f>
        <v>340000000</v>
      </c>
    </row>
    <row r="138" spans="2:18" x14ac:dyDescent="0.4">
      <c r="B138" s="11" t="s">
        <v>20</v>
      </c>
      <c r="C138" s="2">
        <v>187</v>
      </c>
      <c r="D138" s="12">
        <f>IF(ISNUMBER(C138) = TRUE, C138*10^C141*1000/C142, "N/A")</f>
        <v>374000000</v>
      </c>
      <c r="E138" s="2">
        <v>21</v>
      </c>
      <c r="F138" s="12">
        <f>IF(ISNUMBER(E138) = TRUE, E138*10^E141*1000/E142, "N/A")</f>
        <v>420000000</v>
      </c>
      <c r="H138" s="11" t="s">
        <v>20</v>
      </c>
      <c r="I138" s="2">
        <v>139</v>
      </c>
      <c r="J138" s="12">
        <f>IF(ISNUMBER(I138) = TRUE, I138*10^I141*1000/I142, "N/A")</f>
        <v>278000000</v>
      </c>
      <c r="K138" s="2">
        <v>12</v>
      </c>
      <c r="L138" s="12">
        <f>IF(ISNUMBER(K138) = TRUE, K138*10^K141*1000/K142, "N/A")</f>
        <v>240000000</v>
      </c>
      <c r="N138" s="11" t="s">
        <v>20</v>
      </c>
      <c r="O138" s="2">
        <v>167</v>
      </c>
      <c r="P138" s="12">
        <f>IF(ISNUMBER(O138) = TRUE, O138*10^O141*1000/O142, "N/A")</f>
        <v>334000000</v>
      </c>
      <c r="Q138" s="2">
        <v>16</v>
      </c>
      <c r="R138" s="12">
        <f>IF(ISNUMBER(Q138) = TRUE, Q138*10^Q141*1000/Q142, "N/A")</f>
        <v>320000000</v>
      </c>
    </row>
    <row r="139" spans="2:18" x14ac:dyDescent="0.4">
      <c r="B139" s="11" t="s">
        <v>21</v>
      </c>
      <c r="C139" s="2">
        <v>167</v>
      </c>
      <c r="D139" s="12">
        <f>IF(ISNUMBER(C139) = TRUE, C139*10^C141*1000/C142, "N/A")</f>
        <v>334000000</v>
      </c>
      <c r="E139" s="2">
        <v>19</v>
      </c>
      <c r="F139" s="12">
        <f>IF(ISNUMBER(E139) = TRUE, E139*10^E141*1000/E142, "N/A")</f>
        <v>380000000</v>
      </c>
      <c r="H139" s="11" t="s">
        <v>21</v>
      </c>
      <c r="I139" s="2">
        <v>133</v>
      </c>
      <c r="J139" s="12">
        <f>IF(ISNUMBER(I139) = TRUE, I139*10^I141*1000/I142, "N/A")</f>
        <v>266000000</v>
      </c>
      <c r="K139" s="2">
        <v>13</v>
      </c>
      <c r="L139" s="12">
        <f>IF(ISNUMBER(K139) = TRUE, K139*10^K141*1000/K142, "N/A")</f>
        <v>260000000</v>
      </c>
      <c r="N139" s="11" t="s">
        <v>21</v>
      </c>
      <c r="O139" s="2">
        <v>183</v>
      </c>
      <c r="P139" s="12">
        <f>IF(ISNUMBER(O139) = TRUE, O139*10^O141*1000/O142, "N/A")</f>
        <v>366000000</v>
      </c>
      <c r="Q139" s="2">
        <v>15</v>
      </c>
      <c r="R139" s="12">
        <f>IF(ISNUMBER(Q139) = TRUE, Q139*10^Q141*1000/Q142, "N/A")</f>
        <v>300000000</v>
      </c>
    </row>
    <row r="140" spans="2:18" x14ac:dyDescent="0.4">
      <c r="B140" s="13" t="s">
        <v>22</v>
      </c>
      <c r="C140" s="14"/>
      <c r="D140" s="12" t="str">
        <f>IF(ISNUMBER(C140) = TRUE, C140*10^C141*1000/C142, "N/A")</f>
        <v>N/A</v>
      </c>
      <c r="E140" s="14"/>
      <c r="F140" s="12" t="str">
        <f>IF(ISNUMBER(E140) = TRUE, E140*10^E141*1000/E142, "N/A")</f>
        <v>N/A</v>
      </c>
      <c r="H140" s="13" t="s">
        <v>22</v>
      </c>
      <c r="I140" s="14">
        <v>132</v>
      </c>
      <c r="J140" s="12">
        <f>IF(ISNUMBER(I140) = TRUE, I140*10^I141*1000/I142, "N/A")</f>
        <v>264000000</v>
      </c>
      <c r="K140" s="14">
        <v>14</v>
      </c>
      <c r="L140" s="12">
        <f>IF(ISNUMBER(K140) = TRUE, K140*10^K141*1000/K142, "N/A")</f>
        <v>280000000</v>
      </c>
      <c r="N140" s="13" t="s">
        <v>22</v>
      </c>
      <c r="O140" s="14">
        <v>179</v>
      </c>
      <c r="P140" s="12">
        <f>IF(ISNUMBER(O140) = TRUE, O140*10^O141*1000/O142, "N/A")</f>
        <v>358000000</v>
      </c>
      <c r="Q140" s="14">
        <v>19</v>
      </c>
      <c r="R140" s="12">
        <f>IF(ISNUMBER(Q140) = TRUE, Q140*10^Q141*1000/Q142, "N/A")</f>
        <v>380000000</v>
      </c>
    </row>
    <row r="141" spans="2:18" x14ac:dyDescent="0.4">
      <c r="B141" s="15" t="s">
        <v>13</v>
      </c>
      <c r="C141" s="16">
        <v>4</v>
      </c>
      <c r="D141" s="17"/>
      <c r="E141" s="30">
        <v>5</v>
      </c>
      <c r="F141" s="17"/>
      <c r="H141" s="15" t="s">
        <v>13</v>
      </c>
      <c r="I141" s="16">
        <v>4</v>
      </c>
      <c r="J141" s="17"/>
      <c r="K141" s="30">
        <v>5</v>
      </c>
      <c r="L141" s="17"/>
      <c r="N141" s="15" t="s">
        <v>13</v>
      </c>
      <c r="O141" s="16">
        <v>4</v>
      </c>
      <c r="P141" s="17"/>
      <c r="Q141" s="30">
        <v>5</v>
      </c>
      <c r="R141" s="17"/>
    </row>
    <row r="142" spans="2:18" x14ac:dyDescent="0.4">
      <c r="B142" s="13" t="s">
        <v>14</v>
      </c>
      <c r="C142" s="18">
        <v>5</v>
      </c>
      <c r="D142" s="19"/>
      <c r="E142" s="31">
        <v>5</v>
      </c>
      <c r="F142" s="19"/>
      <c r="H142" s="13" t="s">
        <v>14</v>
      </c>
      <c r="I142" s="18">
        <v>5</v>
      </c>
      <c r="J142" s="19"/>
      <c r="K142" s="31">
        <v>5</v>
      </c>
      <c r="L142" s="19"/>
      <c r="N142" s="13" t="s">
        <v>14</v>
      </c>
      <c r="O142" s="18">
        <v>5</v>
      </c>
      <c r="P142" s="19"/>
      <c r="Q142" s="31">
        <v>5</v>
      </c>
      <c r="R142" s="19"/>
    </row>
    <row r="143" spans="2:18" x14ac:dyDescent="0.4">
      <c r="B143" s="11" t="s">
        <v>8</v>
      </c>
      <c r="C143" s="2">
        <f>IF(ISBLANK(E136) = FALSE, (_xlfn.STDEV.P(D136:D140)^2+_xlfn.STDEV.P(F136:F140)^2)^(1/2), _xlfn.STDEV.P(D136:D140))</f>
        <v>37841775.856849</v>
      </c>
      <c r="D143" s="20" t="s">
        <v>4</v>
      </c>
      <c r="E143" s="21">
        <v>36</v>
      </c>
      <c r="F143" s="22"/>
      <c r="H143" s="11" t="s">
        <v>8</v>
      </c>
      <c r="I143" s="2">
        <f>IF(ISBLANK(K136) = FALSE, (_xlfn.STDEV.P(J136:J140)^2+_xlfn.STDEV.P(L136:L140)^2)^(1/2), _xlfn.STDEV.P(J136:J140))</f>
        <v>28694250.295137528</v>
      </c>
      <c r="J143" s="20" t="s">
        <v>4</v>
      </c>
      <c r="K143" s="21">
        <v>36</v>
      </c>
      <c r="L143" s="22"/>
      <c r="N143" s="11" t="s">
        <v>8</v>
      </c>
      <c r="O143" s="2">
        <f>IF(ISBLANK(Q136) = FALSE, (_xlfn.STDEV.P(P136:P140)^2+_xlfn.STDEV.P(R136:R140)^2)^(1/2), _xlfn.STDEV.P(P136:P140))</f>
        <v>36345013.413121752</v>
      </c>
      <c r="P143" s="20" t="s">
        <v>4</v>
      </c>
      <c r="Q143" s="21">
        <v>36</v>
      </c>
      <c r="R143" s="22"/>
    </row>
    <row r="144" spans="2:18" x14ac:dyDescent="0.4">
      <c r="B144" s="11" t="s">
        <v>12</v>
      </c>
      <c r="C144" s="2">
        <f>IF(ISBLANK(E136) = FALSE, (AVERAGE(D136:D140)+AVERAGE(F136:F140))/2, AVERAGE(D136:D140))</f>
        <v>377000000</v>
      </c>
      <c r="D144" s="20" t="s">
        <v>16</v>
      </c>
      <c r="E144" s="23">
        <f>E$12+E143/24</f>
        <v>1.8541666666666667</v>
      </c>
      <c r="F144" s="24"/>
      <c r="H144" s="11" t="s">
        <v>12</v>
      </c>
      <c r="I144" s="2">
        <f>IF(ISBLANK(K136) = FALSE, (AVERAGE(J136:J140)+AVERAGE(L136:L140))/2, AVERAGE(J136:J140))</f>
        <v>261400000</v>
      </c>
      <c r="J144" s="20" t="s">
        <v>16</v>
      </c>
      <c r="K144" s="23">
        <f>K$12+K143/24</f>
        <v>1.8541666666666667</v>
      </c>
      <c r="L144" s="24"/>
      <c r="N144" s="11" t="s">
        <v>12</v>
      </c>
      <c r="O144" s="2">
        <f>IF(ISBLANK(Q136) = FALSE, (AVERAGE(P136:P140)+AVERAGE(R136:R140))/2, AVERAGE(P136:P140))</f>
        <v>351400000</v>
      </c>
      <c r="P144" s="20" t="s">
        <v>16</v>
      </c>
      <c r="Q144" s="23">
        <f>Q$12+Q143/24</f>
        <v>1.8541666666666667</v>
      </c>
      <c r="R144" s="24"/>
    </row>
    <row r="145" spans="2:18" ht="14.25" thickBot="1" x14ac:dyDescent="0.45">
      <c r="B145" s="25" t="s">
        <v>15</v>
      </c>
      <c r="C145" s="26">
        <f>IF(ISNUMBER(C133) = FALSE, C134, C134-0.1)</f>
        <v>3.8000000000000034</v>
      </c>
      <c r="D145" s="27" t="s">
        <v>17</v>
      </c>
      <c r="E145" s="28">
        <f>C144*C145</f>
        <v>1432600000.0000012</v>
      </c>
      <c r="F145" s="29"/>
      <c r="H145" s="25" t="s">
        <v>15</v>
      </c>
      <c r="I145" s="26">
        <f>IF(ISNUMBER(I133) = FALSE, I134, I134-0.1)</f>
        <v>3.8000000000000034</v>
      </c>
      <c r="J145" s="27" t="s">
        <v>17</v>
      </c>
      <c r="K145" s="28">
        <f>I144*I145</f>
        <v>993320000.00000083</v>
      </c>
      <c r="L145" s="29"/>
      <c r="N145" s="25" t="s">
        <v>15</v>
      </c>
      <c r="O145" s="26">
        <f>IF(ISNUMBER(O133) = FALSE, O134, O134-0.1)</f>
        <v>3.8000000000000034</v>
      </c>
      <c r="P145" s="27" t="s">
        <v>17</v>
      </c>
      <c r="Q145" s="28">
        <f>O144*O145</f>
        <v>1335320000.0000012</v>
      </c>
      <c r="R145" s="29"/>
    </row>
  </sheetData>
  <mergeCells count="276">
    <mergeCell ref="E145:F145"/>
    <mergeCell ref="K145:L145"/>
    <mergeCell ref="Q145:R145"/>
    <mergeCell ref="E143:F143"/>
    <mergeCell ref="K143:L143"/>
    <mergeCell ref="Q143:R143"/>
    <mergeCell ref="E144:F144"/>
    <mergeCell ref="K144:L144"/>
    <mergeCell ref="Q144:R144"/>
    <mergeCell ref="C142:D142"/>
    <mergeCell ref="E142:F142"/>
    <mergeCell ref="I142:J142"/>
    <mergeCell ref="K142:L142"/>
    <mergeCell ref="O142:P142"/>
    <mergeCell ref="Q142:R142"/>
    <mergeCell ref="E134:F134"/>
    <mergeCell ref="K134:L134"/>
    <mergeCell ref="Q134:R134"/>
    <mergeCell ref="C141:D141"/>
    <mergeCell ref="E141:F141"/>
    <mergeCell ref="I141:J141"/>
    <mergeCell ref="K141:L141"/>
    <mergeCell ref="O141:P141"/>
    <mergeCell ref="Q141:R141"/>
    <mergeCell ref="E132:F132"/>
    <mergeCell ref="K132:L132"/>
    <mergeCell ref="Q132:R132"/>
    <mergeCell ref="E133:F133"/>
    <mergeCell ref="K133:L133"/>
    <mergeCell ref="Q133:R133"/>
    <mergeCell ref="C131:D131"/>
    <mergeCell ref="E131:F131"/>
    <mergeCell ref="I131:J131"/>
    <mergeCell ref="K131:L131"/>
    <mergeCell ref="O131:P131"/>
    <mergeCell ref="Q131:R131"/>
    <mergeCell ref="E123:F123"/>
    <mergeCell ref="K123:L123"/>
    <mergeCell ref="Q123:R123"/>
    <mergeCell ref="C130:D130"/>
    <mergeCell ref="E130:F130"/>
    <mergeCell ref="I130:J130"/>
    <mergeCell ref="K130:L130"/>
    <mergeCell ref="O130:P130"/>
    <mergeCell ref="Q130:R130"/>
    <mergeCell ref="E121:F121"/>
    <mergeCell ref="K121:L121"/>
    <mergeCell ref="Q121:R121"/>
    <mergeCell ref="E122:F122"/>
    <mergeCell ref="K122:L122"/>
    <mergeCell ref="Q122:R122"/>
    <mergeCell ref="C120:D120"/>
    <mergeCell ref="E120:F120"/>
    <mergeCell ref="I120:J120"/>
    <mergeCell ref="K120:L120"/>
    <mergeCell ref="O120:P120"/>
    <mergeCell ref="Q120:R120"/>
    <mergeCell ref="E112:F112"/>
    <mergeCell ref="K112:L112"/>
    <mergeCell ref="Q112:R112"/>
    <mergeCell ref="C119:D119"/>
    <mergeCell ref="E119:F119"/>
    <mergeCell ref="I119:J119"/>
    <mergeCell ref="K119:L119"/>
    <mergeCell ref="O119:P119"/>
    <mergeCell ref="Q119:R119"/>
    <mergeCell ref="E110:F110"/>
    <mergeCell ref="K110:L110"/>
    <mergeCell ref="Q110:R110"/>
    <mergeCell ref="E111:F111"/>
    <mergeCell ref="K111:L111"/>
    <mergeCell ref="Q111:R111"/>
    <mergeCell ref="C109:D109"/>
    <mergeCell ref="E109:F109"/>
    <mergeCell ref="I109:J109"/>
    <mergeCell ref="K109:L109"/>
    <mergeCell ref="O109:P109"/>
    <mergeCell ref="Q109:R109"/>
    <mergeCell ref="E101:F101"/>
    <mergeCell ref="K101:L101"/>
    <mergeCell ref="Q101:R101"/>
    <mergeCell ref="C108:D108"/>
    <mergeCell ref="E108:F108"/>
    <mergeCell ref="I108:J108"/>
    <mergeCell ref="K108:L108"/>
    <mergeCell ref="O108:P108"/>
    <mergeCell ref="Q108:R108"/>
    <mergeCell ref="E99:F99"/>
    <mergeCell ref="K99:L99"/>
    <mergeCell ref="Q99:R99"/>
    <mergeCell ref="E100:F100"/>
    <mergeCell ref="K100:L100"/>
    <mergeCell ref="Q100:R100"/>
    <mergeCell ref="C98:D98"/>
    <mergeCell ref="E98:F98"/>
    <mergeCell ref="I98:J98"/>
    <mergeCell ref="K98:L98"/>
    <mergeCell ref="O98:P98"/>
    <mergeCell ref="Q98:R98"/>
    <mergeCell ref="E90:F90"/>
    <mergeCell ref="K90:L90"/>
    <mergeCell ref="Q90:R90"/>
    <mergeCell ref="C97:D97"/>
    <mergeCell ref="E97:F97"/>
    <mergeCell ref="I97:J97"/>
    <mergeCell ref="K97:L97"/>
    <mergeCell ref="O97:P97"/>
    <mergeCell ref="Q97:R97"/>
    <mergeCell ref="E88:F88"/>
    <mergeCell ref="K88:L88"/>
    <mergeCell ref="Q88:R88"/>
    <mergeCell ref="E89:F89"/>
    <mergeCell ref="K89:L89"/>
    <mergeCell ref="Q89:R89"/>
    <mergeCell ref="C87:D87"/>
    <mergeCell ref="E87:F87"/>
    <mergeCell ref="I87:J87"/>
    <mergeCell ref="K87:L87"/>
    <mergeCell ref="O87:P87"/>
    <mergeCell ref="Q87:R87"/>
    <mergeCell ref="E79:F79"/>
    <mergeCell ref="K79:L79"/>
    <mergeCell ref="Q79:R79"/>
    <mergeCell ref="C86:D86"/>
    <mergeCell ref="E86:F86"/>
    <mergeCell ref="I86:J86"/>
    <mergeCell ref="K86:L86"/>
    <mergeCell ref="O86:P86"/>
    <mergeCell ref="Q86:R86"/>
    <mergeCell ref="E77:F77"/>
    <mergeCell ref="K77:L77"/>
    <mergeCell ref="Q77:R77"/>
    <mergeCell ref="E78:F78"/>
    <mergeCell ref="K78:L78"/>
    <mergeCell ref="Q78:R78"/>
    <mergeCell ref="C76:D76"/>
    <mergeCell ref="E76:F76"/>
    <mergeCell ref="I76:J76"/>
    <mergeCell ref="K76:L76"/>
    <mergeCell ref="O76:P76"/>
    <mergeCell ref="Q76:R76"/>
    <mergeCell ref="E68:F68"/>
    <mergeCell ref="K68:L68"/>
    <mergeCell ref="Q68:R68"/>
    <mergeCell ref="C75:D75"/>
    <mergeCell ref="E75:F75"/>
    <mergeCell ref="I75:J75"/>
    <mergeCell ref="K75:L75"/>
    <mergeCell ref="O75:P75"/>
    <mergeCell ref="Q75:R75"/>
    <mergeCell ref="E66:F66"/>
    <mergeCell ref="K66:L66"/>
    <mergeCell ref="Q66:R66"/>
    <mergeCell ref="E67:F67"/>
    <mergeCell ref="K67:L67"/>
    <mergeCell ref="Q67:R67"/>
    <mergeCell ref="C65:D65"/>
    <mergeCell ref="E65:F65"/>
    <mergeCell ref="I65:J65"/>
    <mergeCell ref="K65:L65"/>
    <mergeCell ref="O65:P65"/>
    <mergeCell ref="Q65:R65"/>
    <mergeCell ref="E57:F57"/>
    <mergeCell ref="K57:L57"/>
    <mergeCell ref="Q57:R57"/>
    <mergeCell ref="C64:D64"/>
    <mergeCell ref="E64:F64"/>
    <mergeCell ref="I64:J64"/>
    <mergeCell ref="K64:L64"/>
    <mergeCell ref="O64:P64"/>
    <mergeCell ref="Q64:R64"/>
    <mergeCell ref="E55:F55"/>
    <mergeCell ref="K55:L55"/>
    <mergeCell ref="Q55:R55"/>
    <mergeCell ref="E56:F56"/>
    <mergeCell ref="K56:L56"/>
    <mergeCell ref="Q56:R56"/>
    <mergeCell ref="C54:D54"/>
    <mergeCell ref="E54:F54"/>
    <mergeCell ref="I54:J54"/>
    <mergeCell ref="K54:L54"/>
    <mergeCell ref="O54:P54"/>
    <mergeCell ref="Q54:R54"/>
    <mergeCell ref="E46:F46"/>
    <mergeCell ref="K46:L46"/>
    <mergeCell ref="Q46:R46"/>
    <mergeCell ref="C53:D53"/>
    <mergeCell ref="E53:F53"/>
    <mergeCell ref="I53:J53"/>
    <mergeCell ref="K53:L53"/>
    <mergeCell ref="O53:P53"/>
    <mergeCell ref="Q53:R53"/>
    <mergeCell ref="E44:F44"/>
    <mergeCell ref="K44:L44"/>
    <mergeCell ref="Q44:R44"/>
    <mergeCell ref="E45:F45"/>
    <mergeCell ref="K45:L45"/>
    <mergeCell ref="Q45:R45"/>
    <mergeCell ref="C43:D43"/>
    <mergeCell ref="E43:F43"/>
    <mergeCell ref="I43:J43"/>
    <mergeCell ref="K43:L43"/>
    <mergeCell ref="O43:P43"/>
    <mergeCell ref="Q43:R43"/>
    <mergeCell ref="E35:F35"/>
    <mergeCell ref="K35:L35"/>
    <mergeCell ref="Q35:R35"/>
    <mergeCell ref="C42:D42"/>
    <mergeCell ref="E42:F42"/>
    <mergeCell ref="I42:J42"/>
    <mergeCell ref="K42:L42"/>
    <mergeCell ref="O42:P42"/>
    <mergeCell ref="Q42:R42"/>
    <mergeCell ref="E33:F33"/>
    <mergeCell ref="K33:L33"/>
    <mergeCell ref="Q33:R33"/>
    <mergeCell ref="E34:F34"/>
    <mergeCell ref="K34:L34"/>
    <mergeCell ref="Q34:R34"/>
    <mergeCell ref="C32:D32"/>
    <mergeCell ref="E32:F32"/>
    <mergeCell ref="I32:J32"/>
    <mergeCell ref="K32:L32"/>
    <mergeCell ref="O32:P32"/>
    <mergeCell ref="Q32:R32"/>
    <mergeCell ref="E24:F24"/>
    <mergeCell ref="K24:L24"/>
    <mergeCell ref="Q24:R24"/>
    <mergeCell ref="C31:D31"/>
    <mergeCell ref="E31:F31"/>
    <mergeCell ref="I31:J31"/>
    <mergeCell ref="K31:L31"/>
    <mergeCell ref="O31:P31"/>
    <mergeCell ref="Q31:R31"/>
    <mergeCell ref="E22:F22"/>
    <mergeCell ref="K22:L22"/>
    <mergeCell ref="Q22:R22"/>
    <mergeCell ref="E23:F23"/>
    <mergeCell ref="K23:L23"/>
    <mergeCell ref="Q23:R23"/>
    <mergeCell ref="C21:D21"/>
    <mergeCell ref="E21:F21"/>
    <mergeCell ref="I21:J21"/>
    <mergeCell ref="K21:L21"/>
    <mergeCell ref="O21:P21"/>
    <mergeCell ref="Q21:R21"/>
    <mergeCell ref="E13:F13"/>
    <mergeCell ref="K13:L13"/>
    <mergeCell ref="Q13:R13"/>
    <mergeCell ref="C20:D20"/>
    <mergeCell ref="E20:F20"/>
    <mergeCell ref="I20:J20"/>
    <mergeCell ref="K20:L20"/>
    <mergeCell ref="O20:P20"/>
    <mergeCell ref="Q20:R20"/>
    <mergeCell ref="E11:F11"/>
    <mergeCell ref="K11:L11"/>
    <mergeCell ref="Q11:R11"/>
    <mergeCell ref="E12:F12"/>
    <mergeCell ref="K12:L12"/>
    <mergeCell ref="Q12:R12"/>
    <mergeCell ref="Q9:R9"/>
    <mergeCell ref="C10:D10"/>
    <mergeCell ref="E10:F10"/>
    <mergeCell ref="I10:J10"/>
    <mergeCell ref="K10:L10"/>
    <mergeCell ref="O10:P10"/>
    <mergeCell ref="Q10:R10"/>
    <mergeCell ref="B2:D2"/>
    <mergeCell ref="H2:J2"/>
    <mergeCell ref="N2:P2"/>
    <mergeCell ref="C9:D9"/>
    <mergeCell ref="E9:F9"/>
    <mergeCell ref="I9:J9"/>
    <mergeCell ref="K9:L9"/>
    <mergeCell ref="O9:P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</vt:lpstr>
      <vt:lpstr>raw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黃品喆</cp:lastModifiedBy>
  <cp:revision/>
  <dcterms:created xsi:type="dcterms:W3CDTF">2015-06-05T18:19:34Z</dcterms:created>
  <dcterms:modified xsi:type="dcterms:W3CDTF">2026-08-01T19:22:49Z</dcterms:modified>
  <cp:category/>
  <cp:contentStatus/>
</cp:coreProperties>
</file>