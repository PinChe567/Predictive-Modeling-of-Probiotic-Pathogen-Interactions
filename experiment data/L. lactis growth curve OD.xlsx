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010F9AEB-08FE-49FA-843E-9F105EE9E2F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" sheetId="1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3" i="2" l="1"/>
  <c r="H241" i="2"/>
  <c r="H232" i="2"/>
  <c r="H230" i="2"/>
  <c r="H221" i="2"/>
  <c r="H219" i="2"/>
  <c r="H210" i="2"/>
  <c r="H208" i="2"/>
  <c r="H199" i="2"/>
  <c r="H197" i="2"/>
  <c r="H188" i="2"/>
  <c r="H186" i="2"/>
  <c r="H177" i="2"/>
  <c r="H175" i="2"/>
  <c r="H166" i="2"/>
  <c r="H164" i="2"/>
  <c r="H155" i="2"/>
  <c r="H153" i="2"/>
  <c r="H144" i="2"/>
  <c r="H142" i="2"/>
  <c r="H133" i="2"/>
  <c r="H131" i="2"/>
  <c r="H122" i="2"/>
  <c r="H120" i="2"/>
  <c r="H111" i="2"/>
  <c r="H109" i="2"/>
  <c r="H100" i="2"/>
  <c r="H98" i="2"/>
  <c r="H89" i="2"/>
  <c r="H87" i="2"/>
  <c r="H78" i="2"/>
  <c r="H76" i="2"/>
  <c r="H67" i="2"/>
  <c r="H65" i="2"/>
  <c r="H56" i="2"/>
  <c r="H54" i="2"/>
  <c r="H45" i="2"/>
  <c r="H43" i="2"/>
  <c r="H34" i="2"/>
  <c r="H32" i="2"/>
  <c r="H23" i="2"/>
  <c r="H21" i="2"/>
  <c r="H12" i="2"/>
  <c r="H10" i="2"/>
  <c r="C221" i="2"/>
  <c r="C219" i="2"/>
  <c r="C210" i="2"/>
  <c r="C208" i="2"/>
  <c r="C199" i="2"/>
  <c r="C197" i="2"/>
  <c r="C188" i="2"/>
  <c r="C186" i="2"/>
  <c r="C177" i="2"/>
  <c r="C175" i="2"/>
  <c r="C166" i="2"/>
  <c r="C164" i="2"/>
  <c r="C155" i="2"/>
  <c r="C153" i="2"/>
  <c r="C144" i="2"/>
  <c r="C142" i="2"/>
  <c r="C133" i="2"/>
  <c r="C131" i="2"/>
  <c r="C122" i="2"/>
  <c r="C120" i="2"/>
  <c r="C111" i="2"/>
  <c r="C109" i="2"/>
  <c r="C100" i="2"/>
  <c r="C98" i="2"/>
  <c r="C89" i="2"/>
  <c r="C87" i="2"/>
  <c r="C78" i="2"/>
  <c r="C76" i="2"/>
  <c r="C67" i="2"/>
  <c r="C65" i="2"/>
  <c r="C56" i="2"/>
  <c r="C54" i="2"/>
  <c r="C45" i="2"/>
  <c r="C43" i="2"/>
  <c r="C34" i="2"/>
  <c r="C32" i="2"/>
  <c r="C23" i="2"/>
  <c r="C21" i="2"/>
  <c r="C12" i="2"/>
  <c r="C10" i="2"/>
</calcChain>
</file>

<file path=xl/sharedStrings.xml><?xml version="1.0" encoding="utf-8"?>
<sst xmlns="http://schemas.openxmlformats.org/spreadsheetml/2006/main" count="356" uniqueCount="21">
  <si>
    <r>
      <t>Temp: 24</t>
    </r>
    <r>
      <rPr>
        <b/>
        <sz val="11"/>
        <color theme="1"/>
        <rFont val="Segoe UI Symbol"/>
        <family val="4"/>
      </rPr>
      <t>℃</t>
    </r>
    <phoneticPr fontId="1" type="noConversion"/>
  </si>
  <si>
    <t>2024/8/19-2024/8/23</t>
    <phoneticPr fontId="1" type="noConversion"/>
  </si>
  <si>
    <t>L. lactis growth curve OD</t>
    <phoneticPr fontId="1" type="noConversion"/>
  </si>
  <si>
    <t>time (hr)</t>
    <phoneticPr fontId="1" type="noConversion"/>
  </si>
  <si>
    <t>OD600</t>
    <phoneticPr fontId="1" type="noConversion"/>
  </si>
  <si>
    <t>SD</t>
    <phoneticPr fontId="1" type="noConversion"/>
  </si>
  <si>
    <t>2024/9/3-2024/9/16</t>
    <phoneticPr fontId="1" type="noConversion"/>
  </si>
  <si>
    <t>Example</t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</si>
  <si>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0.53, dilute 100x)</t>
    </r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</si>
  <si>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0.57, dilute 100x)</t>
    </r>
    <phoneticPr fontId="1" type="noConversion"/>
  </si>
  <si>
    <t>OD</t>
    <phoneticPr fontId="1" type="noConversion"/>
  </si>
  <si>
    <t>SD (OD)</t>
    <phoneticPr fontId="1" type="noConversion"/>
  </si>
  <si>
    <t>Temp.: 24℃</t>
  </si>
  <si>
    <t>L. lactis(OD600 = 0.53，Dilute 100x)</t>
  </si>
  <si>
    <t>L. lactis(OD600 = 0.57，Dilute 100x)</t>
  </si>
  <si>
    <t>mean OD</t>
  </si>
  <si>
    <t>test 1</t>
  </si>
  <si>
    <t>test 2</t>
  </si>
  <si>
    <t>test 3</t>
  </si>
  <si>
    <t>test 4</t>
  </si>
  <si>
    <t>test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</si>
</sst>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4" borderId="5" xfId="0" applyFont="1" applyFill="1" applyBorder="1"/>
    <xf numFmtId="0" fontId="5" fillId="3" borderId="6" xfId="0" applyFont="1" applyFill="1" applyBorder="1"/>
    <xf numFmtId="0" fontId="5" fillId="4" borderId="7" xfId="0" applyFont="1" applyFill="1" applyBorder="1"/>
    <xf numFmtId="0" fontId="5" fillId="3" borderId="8" xfId="0" applyFont="1" applyFill="1" applyBorder="1"/>
    <xf numFmtId="0" fontId="5" fillId="3" borderId="5" xfId="0" applyFont="1" applyFill="1" applyBorder="1"/>
    <xf numFmtId="0" fontId="5" fillId="3" borderId="10" xfId="0" applyFont="1" applyFill="1" applyBorder="1"/>
    <xf numFmtId="0" fontId="5" fillId="4" borderId="9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workbookViewId="0">
      <selection activeCell="M17" sqref="M17"/>
    </sheetView>
  </sheetViews>
  <sheetFormatPr defaultRowHeight="13.9" x14ac:dyDescent="0.4"/>
  <cols>
    <col min="1" max="1" width="9.140625" style="1"/>
    <col min="2" max="2" width="24.5703125" style="1" bestFit="1" customWidth="1"/>
    <col min="3" max="3" width="9.140625" style="1"/>
    <col min="4" max="4" width="12.28515625" style="1" bestFit="1" customWidth="1"/>
    <col min="5" max="5" width="7" style="1" bestFit="1" customWidth="1"/>
    <col min="6" max="6" width="12.28515625" style="1" bestFit="1" customWidth="1"/>
    <col min="7" max="7" width="11.85546875" style="1" bestFit="1" customWidth="1"/>
    <col min="8" max="8" width="9.140625" style="1"/>
    <col min="9" max="9" width="11.2109375" style="1" customWidth="1"/>
    <col min="10" max="12" width="9.140625" style="1"/>
    <col min="13" max="13" width="25.7109375" style="1" bestFit="1" customWidth="1"/>
    <col min="14" max="16384" width="9.140625" style="1"/>
  </cols>
  <sheetData>
    <row r="1" spans="2:9" ht="16.899999999999999" thickBot="1" x14ac:dyDescent="0.45">
      <c r="D1" s="4" t="s">
        <v>8</v>
      </c>
      <c r="E1" s="4"/>
      <c r="F1" s="4"/>
      <c r="G1" s="2" t="s">
        <v>0</v>
      </c>
      <c r="H1" s="5" t="s">
        <v>1</v>
      </c>
      <c r="I1" s="5"/>
    </row>
    <row r="2" spans="2:9" x14ac:dyDescent="0.4">
      <c r="B2" s="1" t="s">
        <v>2</v>
      </c>
      <c r="D2" s="1" t="s">
        <v>3</v>
      </c>
      <c r="E2" s="1" t="s">
        <v>4</v>
      </c>
      <c r="F2" s="1" t="s">
        <v>5</v>
      </c>
    </row>
    <row r="3" spans="2:9" x14ac:dyDescent="0.4">
      <c r="D3" s="1">
        <v>0</v>
      </c>
      <c r="E3" s="1">
        <v>0</v>
      </c>
      <c r="F3" s="1">
        <v>0</v>
      </c>
    </row>
    <row r="4" spans="2:9" x14ac:dyDescent="0.4">
      <c r="D4" s="1">
        <v>10</v>
      </c>
      <c r="E4" s="1">
        <v>1.3999999999999999E-2</v>
      </c>
      <c r="F4" s="1">
        <v>1.0198039027185571E-2</v>
      </c>
    </row>
    <row r="5" spans="2:9" x14ac:dyDescent="0.4">
      <c r="D5" s="1">
        <v>13</v>
      </c>
      <c r="E5" s="1">
        <v>1.7999999999999999E-2</v>
      </c>
      <c r="F5" s="1">
        <v>1.4696938456699071E-2</v>
      </c>
    </row>
    <row r="6" spans="2:9" x14ac:dyDescent="0.4">
      <c r="D6" s="1">
        <v>16</v>
      </c>
      <c r="E6" s="1">
        <v>5.6000000000000008E-2</v>
      </c>
      <c r="F6" s="1">
        <v>1.7435595774162673E-2</v>
      </c>
    </row>
    <row r="7" spans="2:9" x14ac:dyDescent="0.4">
      <c r="D7" s="1">
        <v>19</v>
      </c>
      <c r="E7" s="1">
        <v>7.3999999999999996E-2</v>
      </c>
      <c r="F7" s="1">
        <v>2.3323807579381229E-2</v>
      </c>
    </row>
    <row r="8" spans="2:9" x14ac:dyDescent="0.4">
      <c r="D8" s="1">
        <v>22</v>
      </c>
      <c r="E8" s="1">
        <v>0.10200000000000001</v>
      </c>
      <c r="F8" s="1">
        <v>2.9933259094191554E-2</v>
      </c>
    </row>
    <row r="9" spans="2:9" x14ac:dyDescent="0.4">
      <c r="D9" s="1">
        <v>25</v>
      </c>
      <c r="E9" s="1">
        <v>0.17799999999999999</v>
      </c>
      <c r="F9" s="1">
        <v>1.8330302779823442E-2</v>
      </c>
    </row>
    <row r="10" spans="2:9" x14ac:dyDescent="0.4">
      <c r="D10" s="1">
        <v>28</v>
      </c>
      <c r="E10" s="1">
        <v>0.32</v>
      </c>
      <c r="F10" s="1">
        <v>1.7888543819998316E-2</v>
      </c>
    </row>
    <row r="11" spans="2:9" x14ac:dyDescent="0.4">
      <c r="D11" s="1">
        <v>31</v>
      </c>
      <c r="E11" s="1">
        <v>0.56600000000000006</v>
      </c>
      <c r="F11" s="1">
        <v>1.0198039027185531E-2</v>
      </c>
    </row>
    <row r="12" spans="2:9" x14ac:dyDescent="0.4">
      <c r="D12" s="1">
        <v>34</v>
      </c>
      <c r="E12" s="1">
        <v>0.78600000000000003</v>
      </c>
      <c r="F12" s="1">
        <v>1.3564659966250548E-2</v>
      </c>
    </row>
    <row r="13" spans="2:9" x14ac:dyDescent="0.4">
      <c r="D13" s="1">
        <v>37</v>
      </c>
      <c r="E13" s="1">
        <v>0.93200000000000005</v>
      </c>
      <c r="F13" s="1">
        <v>7.4833147735478417E-3</v>
      </c>
    </row>
    <row r="14" spans="2:9" x14ac:dyDescent="0.4">
      <c r="D14" s="1">
        <v>40</v>
      </c>
      <c r="E14" s="1">
        <v>0.97599999999999998</v>
      </c>
      <c r="F14" s="1">
        <v>4.8989794855663609E-3</v>
      </c>
    </row>
    <row r="15" spans="2:9" x14ac:dyDescent="0.4">
      <c r="D15" s="1">
        <v>43</v>
      </c>
      <c r="E15" s="1">
        <v>0.98399999999999999</v>
      </c>
      <c r="F15" s="1">
        <v>1.0198039027185579E-2</v>
      </c>
    </row>
    <row r="16" spans="2:9" x14ac:dyDescent="0.4">
      <c r="D16" s="1">
        <v>46</v>
      </c>
      <c r="E16" s="1">
        <v>0.97</v>
      </c>
      <c r="F16" s="1">
        <v>2.5298221281347056E-2</v>
      </c>
    </row>
    <row r="17" spans="3:9" x14ac:dyDescent="0.4">
      <c r="D17" s="1">
        <v>49</v>
      </c>
      <c r="E17" s="1">
        <v>0.94399999999999995</v>
      </c>
      <c r="F17" s="1">
        <v>7.9999999999999672E-3</v>
      </c>
    </row>
    <row r="18" spans="3:9" x14ac:dyDescent="0.4">
      <c r="D18" s="1">
        <v>52</v>
      </c>
      <c r="E18" s="1">
        <v>0.94400000000000017</v>
      </c>
      <c r="F18" s="1">
        <v>2.0591260281973976E-2</v>
      </c>
    </row>
    <row r="19" spans="3:9" x14ac:dyDescent="0.4">
      <c r="D19" s="1">
        <v>55</v>
      </c>
      <c r="E19" s="1">
        <v>0.97200000000000009</v>
      </c>
      <c r="F19" s="1">
        <v>1.1661903789690611E-2</v>
      </c>
    </row>
    <row r="20" spans="3:9" x14ac:dyDescent="0.4">
      <c r="D20" s="1">
        <v>66</v>
      </c>
      <c r="E20" s="1">
        <v>0.92799999999999994</v>
      </c>
      <c r="F20" s="1">
        <v>2.9257477676655565E-2</v>
      </c>
    </row>
    <row r="21" spans="3:9" x14ac:dyDescent="0.4">
      <c r="D21" s="1">
        <v>76</v>
      </c>
      <c r="E21" s="1">
        <v>1.002</v>
      </c>
      <c r="F21" s="1">
        <v>1.7204650534085267E-2</v>
      </c>
    </row>
    <row r="22" spans="3:9" x14ac:dyDescent="0.4">
      <c r="D22" s="1">
        <v>88</v>
      </c>
      <c r="E22" s="1">
        <v>1.042</v>
      </c>
      <c r="F22" s="1">
        <v>1.1661903789690611E-2</v>
      </c>
    </row>
    <row r="25" spans="3:9" ht="16.899999999999999" thickBot="1" x14ac:dyDescent="0.45">
      <c r="C25" s="3" t="s">
        <v>7</v>
      </c>
      <c r="D25" s="4" t="s">
        <v>9</v>
      </c>
      <c r="E25" s="4"/>
      <c r="F25" s="4"/>
      <c r="G25" s="2" t="s">
        <v>0</v>
      </c>
      <c r="H25" s="5" t="s">
        <v>6</v>
      </c>
      <c r="I25" s="5"/>
    </row>
    <row r="26" spans="3:9" x14ac:dyDescent="0.4">
      <c r="D26" s="1" t="s">
        <v>3</v>
      </c>
      <c r="E26" s="1" t="s">
        <v>4</v>
      </c>
      <c r="F26" s="1" t="s">
        <v>5</v>
      </c>
    </row>
    <row r="27" spans="3:9" x14ac:dyDescent="0.4">
      <c r="D27" s="1">
        <v>0</v>
      </c>
      <c r="E27" s="1">
        <v>3.4000000000000002E-2</v>
      </c>
      <c r="F27" s="1">
        <v>1.1999999999999992E-2</v>
      </c>
    </row>
    <row r="28" spans="3:9" x14ac:dyDescent="0.4">
      <c r="D28" s="1">
        <v>10</v>
      </c>
      <c r="E28" s="1">
        <v>8.2000000000000003E-2</v>
      </c>
      <c r="F28" s="1">
        <v>7.4833147735478781E-3</v>
      </c>
    </row>
    <row r="29" spans="3:9" x14ac:dyDescent="0.4">
      <c r="D29" s="1">
        <v>13</v>
      </c>
      <c r="E29" s="1">
        <v>0.182</v>
      </c>
      <c r="F29" s="1">
        <v>1.3266499161421603E-2</v>
      </c>
    </row>
    <row r="30" spans="3:9" x14ac:dyDescent="0.4">
      <c r="D30" s="1">
        <v>16</v>
      </c>
      <c r="E30" s="1">
        <v>0.378</v>
      </c>
      <c r="F30" s="1">
        <v>1.1661903789690611E-2</v>
      </c>
    </row>
    <row r="31" spans="3:9" x14ac:dyDescent="0.4">
      <c r="D31" s="1">
        <v>19</v>
      </c>
      <c r="E31" s="1">
        <v>0.66399999999999992</v>
      </c>
      <c r="F31" s="1">
        <v>1.3564659966250548E-2</v>
      </c>
    </row>
    <row r="32" spans="3:9" x14ac:dyDescent="0.4">
      <c r="D32" s="1">
        <v>22</v>
      </c>
      <c r="E32" s="1">
        <v>0.83599999999999997</v>
      </c>
      <c r="F32" s="1">
        <v>1.3564659966250548E-2</v>
      </c>
    </row>
    <row r="33" spans="4:6" x14ac:dyDescent="0.4">
      <c r="D33" s="1">
        <v>25</v>
      </c>
      <c r="E33" s="1">
        <v>1.054</v>
      </c>
      <c r="F33" s="1">
        <v>1.4966629547095779E-2</v>
      </c>
    </row>
    <row r="34" spans="4:6" x14ac:dyDescent="0.4">
      <c r="D34" s="1">
        <v>28.333333333333332</v>
      </c>
      <c r="E34" s="1">
        <v>1.0860000000000001</v>
      </c>
      <c r="F34" s="1">
        <v>1.3564659966250548E-2</v>
      </c>
    </row>
    <row r="35" spans="4:6" x14ac:dyDescent="0.4">
      <c r="D35" s="1">
        <v>30.5</v>
      </c>
      <c r="E35" s="1">
        <v>1.1120000000000001</v>
      </c>
      <c r="F35" s="1">
        <v>1.3266499161421551E-2</v>
      </c>
    </row>
    <row r="36" spans="4:6" x14ac:dyDescent="0.4">
      <c r="D36" s="1">
        <v>34</v>
      </c>
      <c r="E36" s="1">
        <v>1.1479999999999999</v>
      </c>
      <c r="F36" s="1">
        <v>1.7204650534085198E-2</v>
      </c>
    </row>
    <row r="37" spans="4:6" x14ac:dyDescent="0.4">
      <c r="D37" s="1">
        <v>37</v>
      </c>
      <c r="E37" s="1">
        <v>1.1280000000000001</v>
      </c>
      <c r="F37" s="1">
        <v>1.3266499161421523E-2</v>
      </c>
    </row>
    <row r="38" spans="4:6" x14ac:dyDescent="0.4">
      <c r="D38" s="1">
        <v>40</v>
      </c>
      <c r="E38" s="1">
        <v>1.1080000000000001</v>
      </c>
      <c r="F38" s="1">
        <v>1.7204650534085215E-2</v>
      </c>
    </row>
    <row r="39" spans="4:6" x14ac:dyDescent="0.4">
      <c r="D39" s="1">
        <v>43</v>
      </c>
      <c r="E39" s="1">
        <v>1.1359999999999999</v>
      </c>
      <c r="F39" s="1">
        <v>8.2121860670591226E-2</v>
      </c>
    </row>
    <row r="40" spans="4:6" x14ac:dyDescent="0.4">
      <c r="D40" s="1">
        <v>46</v>
      </c>
      <c r="E40" s="1">
        <v>1.1320000000000001</v>
      </c>
      <c r="F40" s="1">
        <v>1.1661903789690519E-2</v>
      </c>
    </row>
    <row r="41" spans="4:6" x14ac:dyDescent="0.4">
      <c r="D41" s="1">
        <v>49</v>
      </c>
      <c r="E41" s="1">
        <v>1.0840000000000001</v>
      </c>
      <c r="F41" s="1">
        <v>8.0000000000000071E-3</v>
      </c>
    </row>
    <row r="42" spans="4:6" x14ac:dyDescent="0.4">
      <c r="D42" s="1">
        <v>61</v>
      </c>
      <c r="E42" s="1">
        <v>1.1039999999999999</v>
      </c>
      <c r="F42" s="1">
        <v>4.89897948556636E-3</v>
      </c>
    </row>
    <row r="43" spans="4:6" x14ac:dyDescent="0.4">
      <c r="D43" s="1">
        <v>73.25</v>
      </c>
      <c r="E43" s="1">
        <v>1.0820000000000001</v>
      </c>
      <c r="F43" s="1">
        <v>1.4696938456699083E-2</v>
      </c>
    </row>
    <row r="44" spans="4:6" x14ac:dyDescent="0.4">
      <c r="D44" s="1">
        <v>121</v>
      </c>
      <c r="E44" s="1">
        <v>1.1919999999999997</v>
      </c>
      <c r="F44" s="1">
        <v>1.1661903789690611E-2</v>
      </c>
    </row>
    <row r="45" spans="4:6" x14ac:dyDescent="0.4">
      <c r="D45" s="1">
        <v>130</v>
      </c>
      <c r="E45" s="1">
        <v>1.1919999999999997</v>
      </c>
      <c r="F45" s="1">
        <v>1.1661903789690611E-2</v>
      </c>
    </row>
    <row r="46" spans="4:6" x14ac:dyDescent="0.4">
      <c r="D46" s="1">
        <v>178</v>
      </c>
      <c r="E46" s="1">
        <v>1.26</v>
      </c>
      <c r="F46" s="1">
        <v>1.4142135623730963E-2</v>
      </c>
    </row>
    <row r="47" spans="4:6" x14ac:dyDescent="0.4">
      <c r="D47" s="1">
        <v>202</v>
      </c>
      <c r="E47" s="1">
        <v>1.234</v>
      </c>
      <c r="F47" s="1">
        <v>1.4966629547095779E-2</v>
      </c>
    </row>
    <row r="48" spans="4:6" x14ac:dyDescent="0.4">
      <c r="D48" s="1">
        <v>226</v>
      </c>
      <c r="E48" s="1">
        <v>1.252</v>
      </c>
      <c r="F48" s="1">
        <v>4.0000000000000036E-3</v>
      </c>
    </row>
  </sheetData>
  <mergeCells count="4">
    <mergeCell ref="D1:F1"/>
    <mergeCell ref="H1:I1"/>
    <mergeCell ref="D25:F25"/>
    <mergeCell ref="H25:I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4C33-C13A-49C1-8AD8-F2584FCC3162}">
  <dimension ref="B2:I244"/>
  <sheetViews>
    <sheetView tabSelected="1" workbookViewId="0">
      <selection activeCell="K14" sqref="K14"/>
    </sheetView>
  </sheetViews>
  <sheetFormatPr defaultRowHeight="15" x14ac:dyDescent="0.45"/>
  <cols>
    <col min="2" max="2" width="34.42578125" bestFit="1" customWidth="1"/>
    <col min="3" max="3" width="12.28515625" bestFit="1" customWidth="1"/>
    <col min="4" max="4" width="19.7109375" bestFit="1" customWidth="1"/>
    <col min="7" max="7" width="34.42578125" bestFit="1" customWidth="1"/>
    <col min="8" max="8" width="12.28515625" bestFit="1" customWidth="1"/>
    <col min="9" max="9" width="18.5703125" bestFit="1" customWidth="1"/>
  </cols>
  <sheetData>
    <row r="2" spans="2:9" ht="15.4" thickBot="1" x14ac:dyDescent="0.5">
      <c r="B2" s="18" t="s">
        <v>13</v>
      </c>
      <c r="C2" s="6" t="s">
        <v>12</v>
      </c>
      <c r="D2" s="19" t="s">
        <v>1</v>
      </c>
      <c r="G2" s="18" t="s">
        <v>14</v>
      </c>
      <c r="H2" s="6" t="s">
        <v>12</v>
      </c>
      <c r="I2" s="19" t="s">
        <v>6</v>
      </c>
    </row>
    <row r="3" spans="2:9" x14ac:dyDescent="0.45">
      <c r="B3" s="7">
        <v>1</v>
      </c>
      <c r="C3" s="8" t="s">
        <v>10</v>
      </c>
      <c r="G3" s="7">
        <v>1</v>
      </c>
      <c r="H3" s="8" t="s">
        <v>10</v>
      </c>
    </row>
    <row r="4" spans="2:9" x14ac:dyDescent="0.45">
      <c r="B4" s="9" t="s">
        <v>16</v>
      </c>
      <c r="C4" s="10">
        <v>0</v>
      </c>
      <c r="G4" s="9" t="s">
        <v>16</v>
      </c>
      <c r="H4" s="10">
        <v>0.02</v>
      </c>
    </row>
    <row r="5" spans="2:9" x14ac:dyDescent="0.45">
      <c r="B5" s="9" t="s">
        <v>17</v>
      </c>
      <c r="C5" s="10">
        <v>0</v>
      </c>
      <c r="G5" s="9" t="s">
        <v>17</v>
      </c>
      <c r="H5" s="10">
        <v>0.04</v>
      </c>
    </row>
    <row r="6" spans="2:9" x14ac:dyDescent="0.45">
      <c r="B6" s="9" t="s">
        <v>18</v>
      </c>
      <c r="C6" s="10">
        <v>0</v>
      </c>
      <c r="G6" s="9" t="s">
        <v>18</v>
      </c>
      <c r="H6" s="10">
        <v>0.04</v>
      </c>
    </row>
    <row r="7" spans="2:9" x14ac:dyDescent="0.45">
      <c r="B7" s="9" t="s">
        <v>19</v>
      </c>
      <c r="C7" s="10">
        <v>0</v>
      </c>
      <c r="G7" s="9" t="s">
        <v>19</v>
      </c>
      <c r="H7" s="10">
        <v>0.05</v>
      </c>
    </row>
    <row r="8" spans="2:9" x14ac:dyDescent="0.45">
      <c r="B8" s="11" t="s">
        <v>20</v>
      </c>
      <c r="C8" s="12">
        <v>0</v>
      </c>
      <c r="G8" s="11" t="s">
        <v>20</v>
      </c>
      <c r="H8" s="12">
        <v>0.02</v>
      </c>
    </row>
    <row r="9" spans="2:9" x14ac:dyDescent="0.45">
      <c r="B9" s="13"/>
      <c r="C9" s="14" t="s">
        <v>11</v>
      </c>
      <c r="G9" s="13"/>
      <c r="H9" s="14" t="s">
        <v>11</v>
      </c>
    </row>
    <row r="10" spans="2:9" x14ac:dyDescent="0.45">
      <c r="B10" s="11"/>
      <c r="C10" s="10">
        <f>_xlfn.STDEV.P(C4:C8)</f>
        <v>0</v>
      </c>
      <c r="G10" s="11"/>
      <c r="H10" s="10">
        <f>_xlfn.STDEV.P(H4:H8)</f>
        <v>1.1999999999999992E-2</v>
      </c>
    </row>
    <row r="11" spans="2:9" x14ac:dyDescent="0.45">
      <c r="B11" s="9"/>
      <c r="C11" s="14" t="s">
        <v>15</v>
      </c>
      <c r="G11" s="9"/>
      <c r="H11" s="14" t="s">
        <v>15</v>
      </c>
    </row>
    <row r="12" spans="2:9" x14ac:dyDescent="0.45">
      <c r="B12" s="9"/>
      <c r="C12" s="16">
        <f>AVERAGE(C4:C8)</f>
        <v>0</v>
      </c>
      <c r="G12" s="9"/>
      <c r="H12" s="16">
        <f>AVERAGE(H4:H8)</f>
        <v>3.4000000000000002E-2</v>
      </c>
    </row>
    <row r="13" spans="2:9" ht="15.4" thickBot="1" x14ac:dyDescent="0.5">
      <c r="B13" s="15"/>
      <c r="C13" s="17"/>
      <c r="G13" s="15"/>
      <c r="H13" s="17"/>
    </row>
    <row r="14" spans="2:9" x14ac:dyDescent="0.45">
      <c r="B14" s="7">
        <v>2</v>
      </c>
      <c r="C14" s="8" t="s">
        <v>10</v>
      </c>
      <c r="G14" s="7">
        <v>2</v>
      </c>
      <c r="H14" s="8" t="s">
        <v>10</v>
      </c>
    </row>
    <row r="15" spans="2:9" x14ac:dyDescent="0.45">
      <c r="B15" s="9" t="s">
        <v>16</v>
      </c>
      <c r="C15" s="10">
        <v>0.01</v>
      </c>
      <c r="G15" s="9" t="s">
        <v>16</v>
      </c>
      <c r="H15" s="10">
        <v>0.09</v>
      </c>
    </row>
    <row r="16" spans="2:9" x14ac:dyDescent="0.45">
      <c r="B16" s="9" t="s">
        <v>17</v>
      </c>
      <c r="C16" s="10">
        <v>0.02</v>
      </c>
      <c r="G16" s="9" t="s">
        <v>17</v>
      </c>
      <c r="H16" s="10">
        <v>0.09</v>
      </c>
    </row>
    <row r="17" spans="2:8" x14ac:dyDescent="0.45">
      <c r="B17" s="9" t="s">
        <v>18</v>
      </c>
      <c r="C17" s="10">
        <v>0.03</v>
      </c>
      <c r="G17" s="9" t="s">
        <v>18</v>
      </c>
      <c r="H17" s="10">
        <v>7.0000000000000007E-2</v>
      </c>
    </row>
    <row r="18" spans="2:8" x14ac:dyDescent="0.45">
      <c r="B18" s="9" t="s">
        <v>19</v>
      </c>
      <c r="C18" s="10">
        <v>0.01</v>
      </c>
      <c r="G18" s="9" t="s">
        <v>19</v>
      </c>
      <c r="H18" s="10">
        <v>0.08</v>
      </c>
    </row>
    <row r="19" spans="2:8" x14ac:dyDescent="0.45">
      <c r="B19" s="11" t="s">
        <v>20</v>
      </c>
      <c r="C19" s="12">
        <v>0</v>
      </c>
      <c r="G19" s="11" t="s">
        <v>20</v>
      </c>
      <c r="H19" s="12">
        <v>0.08</v>
      </c>
    </row>
    <row r="20" spans="2:8" x14ac:dyDescent="0.45">
      <c r="B20" s="13"/>
      <c r="C20" s="14" t="s">
        <v>11</v>
      </c>
      <c r="G20" s="13"/>
      <c r="H20" s="14" t="s">
        <v>11</v>
      </c>
    </row>
    <row r="21" spans="2:8" x14ac:dyDescent="0.45">
      <c r="B21" s="11"/>
      <c r="C21" s="10">
        <f>_xlfn.STDEV.P(C15:C19)</f>
        <v>1.0198039027185571E-2</v>
      </c>
      <c r="G21" s="11"/>
      <c r="H21" s="10">
        <f>_xlfn.STDEV.P(H15:H19)</f>
        <v>7.4833147735478781E-3</v>
      </c>
    </row>
    <row r="22" spans="2:8" x14ac:dyDescent="0.45">
      <c r="B22" s="9"/>
      <c r="C22" s="14" t="s">
        <v>15</v>
      </c>
      <c r="G22" s="9"/>
      <c r="H22" s="14" t="s">
        <v>15</v>
      </c>
    </row>
    <row r="23" spans="2:8" x14ac:dyDescent="0.45">
      <c r="B23" s="9"/>
      <c r="C23" s="16">
        <f>AVERAGE(C15:C19)</f>
        <v>1.3999999999999999E-2</v>
      </c>
      <c r="G23" s="9"/>
      <c r="H23" s="16">
        <f>AVERAGE(H15:H19)</f>
        <v>8.2000000000000003E-2</v>
      </c>
    </row>
    <row r="24" spans="2:8" ht="15.4" thickBot="1" x14ac:dyDescent="0.5">
      <c r="B24" s="15"/>
      <c r="C24" s="17"/>
      <c r="G24" s="15"/>
      <c r="H24" s="17"/>
    </row>
    <row r="25" spans="2:8" x14ac:dyDescent="0.45">
      <c r="B25" s="7">
        <v>3</v>
      </c>
      <c r="C25" s="8" t="s">
        <v>10</v>
      </c>
      <c r="G25" s="7">
        <v>3</v>
      </c>
      <c r="H25" s="8" t="s">
        <v>10</v>
      </c>
    </row>
    <row r="26" spans="2:8" x14ac:dyDescent="0.45">
      <c r="B26" s="9" t="s">
        <v>16</v>
      </c>
      <c r="C26" s="10">
        <v>0</v>
      </c>
      <c r="G26" s="9" t="s">
        <v>16</v>
      </c>
      <c r="H26" s="10">
        <v>0.16</v>
      </c>
    </row>
    <row r="27" spans="2:8" x14ac:dyDescent="0.45">
      <c r="B27" s="9" t="s">
        <v>17</v>
      </c>
      <c r="C27" s="10">
        <v>0.01</v>
      </c>
      <c r="G27" s="9" t="s">
        <v>17</v>
      </c>
      <c r="H27" s="10">
        <v>0.18</v>
      </c>
    </row>
    <row r="28" spans="2:8" x14ac:dyDescent="0.45">
      <c r="B28" s="9" t="s">
        <v>18</v>
      </c>
      <c r="C28" s="10">
        <v>0.01</v>
      </c>
      <c r="G28" s="9" t="s">
        <v>18</v>
      </c>
      <c r="H28" s="10">
        <v>0.2</v>
      </c>
    </row>
    <row r="29" spans="2:8" x14ac:dyDescent="0.45">
      <c r="B29" s="9" t="s">
        <v>19</v>
      </c>
      <c r="C29" s="10">
        <v>0.04</v>
      </c>
      <c r="G29" s="9" t="s">
        <v>19</v>
      </c>
      <c r="H29" s="10">
        <v>0.18</v>
      </c>
    </row>
    <row r="30" spans="2:8" x14ac:dyDescent="0.45">
      <c r="B30" s="11" t="s">
        <v>20</v>
      </c>
      <c r="C30" s="12">
        <v>0.03</v>
      </c>
      <c r="G30" s="11" t="s">
        <v>20</v>
      </c>
      <c r="H30" s="12">
        <v>0.19</v>
      </c>
    </row>
    <row r="31" spans="2:8" x14ac:dyDescent="0.45">
      <c r="B31" s="13"/>
      <c r="C31" s="14" t="s">
        <v>11</v>
      </c>
      <c r="G31" s="13"/>
      <c r="H31" s="14" t="s">
        <v>11</v>
      </c>
    </row>
    <row r="32" spans="2:8" x14ac:dyDescent="0.45">
      <c r="B32" s="11"/>
      <c r="C32" s="10">
        <f>_xlfn.STDEV.P(C26:C30)</f>
        <v>1.4696938456699071E-2</v>
      </c>
      <c r="G32" s="11"/>
      <c r="H32" s="10">
        <f>_xlfn.STDEV.P(H26:H30)</f>
        <v>1.3266499161421603E-2</v>
      </c>
    </row>
    <row r="33" spans="2:8" x14ac:dyDescent="0.45">
      <c r="B33" s="9"/>
      <c r="C33" s="14" t="s">
        <v>15</v>
      </c>
      <c r="G33" s="9"/>
      <c r="H33" s="14" t="s">
        <v>15</v>
      </c>
    </row>
    <row r="34" spans="2:8" x14ac:dyDescent="0.45">
      <c r="B34" s="9"/>
      <c r="C34" s="16">
        <f>AVERAGE(C26:C30)</f>
        <v>1.7999999999999999E-2</v>
      </c>
      <c r="G34" s="9"/>
      <c r="H34" s="16">
        <f>AVERAGE(H26:H30)</f>
        <v>0.182</v>
      </c>
    </row>
    <row r="35" spans="2:8" ht="15.4" thickBot="1" x14ac:dyDescent="0.5">
      <c r="B35" s="15"/>
      <c r="C35" s="17"/>
      <c r="G35" s="15"/>
      <c r="H35" s="17"/>
    </row>
    <row r="36" spans="2:8" x14ac:dyDescent="0.45">
      <c r="B36" s="7">
        <v>4</v>
      </c>
      <c r="C36" s="8" t="s">
        <v>10</v>
      </c>
      <c r="G36" s="7">
        <v>4</v>
      </c>
      <c r="H36" s="8" t="s">
        <v>10</v>
      </c>
    </row>
    <row r="37" spans="2:8" x14ac:dyDescent="0.45">
      <c r="B37" s="9" t="s">
        <v>16</v>
      </c>
      <c r="C37" s="10">
        <v>7.0000000000000007E-2</v>
      </c>
      <c r="G37" s="9" t="s">
        <v>16</v>
      </c>
      <c r="H37" s="10">
        <v>0.39</v>
      </c>
    </row>
    <row r="38" spans="2:8" x14ac:dyDescent="0.45">
      <c r="B38" s="9" t="s">
        <v>17</v>
      </c>
      <c r="C38" s="10">
        <v>0.05</v>
      </c>
      <c r="G38" s="9" t="s">
        <v>17</v>
      </c>
      <c r="H38" s="10">
        <v>0.39</v>
      </c>
    </row>
    <row r="39" spans="2:8" x14ac:dyDescent="0.45">
      <c r="B39" s="9" t="s">
        <v>18</v>
      </c>
      <c r="C39" s="10">
        <v>0.03</v>
      </c>
      <c r="G39" s="9" t="s">
        <v>18</v>
      </c>
      <c r="H39" s="10">
        <v>0.38</v>
      </c>
    </row>
    <row r="40" spans="2:8" x14ac:dyDescent="0.45">
      <c r="B40" s="9" t="s">
        <v>19</v>
      </c>
      <c r="C40" s="10">
        <v>0.08</v>
      </c>
      <c r="G40" s="9" t="s">
        <v>19</v>
      </c>
      <c r="H40" s="10">
        <v>0.37</v>
      </c>
    </row>
    <row r="41" spans="2:8" x14ac:dyDescent="0.45">
      <c r="B41" s="11" t="s">
        <v>20</v>
      </c>
      <c r="C41" s="12">
        <v>0.05</v>
      </c>
      <c r="G41" s="11" t="s">
        <v>20</v>
      </c>
      <c r="H41" s="12">
        <v>0.36</v>
      </c>
    </row>
    <row r="42" spans="2:8" x14ac:dyDescent="0.45">
      <c r="B42" s="13"/>
      <c r="C42" s="14" t="s">
        <v>11</v>
      </c>
      <c r="G42" s="13"/>
      <c r="H42" s="14" t="s">
        <v>11</v>
      </c>
    </row>
    <row r="43" spans="2:8" x14ac:dyDescent="0.45">
      <c r="B43" s="11"/>
      <c r="C43" s="10">
        <f>_xlfn.STDEV.P(C37:C41)</f>
        <v>1.7435595774162673E-2</v>
      </c>
      <c r="G43" s="11"/>
      <c r="H43" s="10">
        <f>_xlfn.STDEV.P(H37:H41)</f>
        <v>1.1661903789690611E-2</v>
      </c>
    </row>
    <row r="44" spans="2:8" x14ac:dyDescent="0.45">
      <c r="B44" s="9"/>
      <c r="C44" s="14" t="s">
        <v>15</v>
      </c>
      <c r="G44" s="9"/>
      <c r="H44" s="14" t="s">
        <v>15</v>
      </c>
    </row>
    <row r="45" spans="2:8" x14ac:dyDescent="0.45">
      <c r="B45" s="9"/>
      <c r="C45" s="16">
        <f>AVERAGE(C37:C41)</f>
        <v>5.6000000000000008E-2</v>
      </c>
      <c r="G45" s="9"/>
      <c r="H45" s="16">
        <f>AVERAGE(H37:H41)</f>
        <v>0.378</v>
      </c>
    </row>
    <row r="46" spans="2:8" ht="15.4" thickBot="1" x14ac:dyDescent="0.5">
      <c r="B46" s="15"/>
      <c r="C46" s="17"/>
      <c r="G46" s="15"/>
      <c r="H46" s="17"/>
    </row>
    <row r="47" spans="2:8" x14ac:dyDescent="0.45">
      <c r="B47" s="7">
        <v>5</v>
      </c>
      <c r="C47" s="8" t="s">
        <v>10</v>
      </c>
      <c r="G47" s="7">
        <v>5</v>
      </c>
      <c r="H47" s="8" t="s">
        <v>10</v>
      </c>
    </row>
    <row r="48" spans="2:8" x14ac:dyDescent="0.45">
      <c r="B48" s="9" t="s">
        <v>16</v>
      </c>
      <c r="C48" s="10">
        <v>0.06</v>
      </c>
      <c r="G48" s="9" t="s">
        <v>16</v>
      </c>
      <c r="H48" s="10">
        <v>0.68</v>
      </c>
    </row>
    <row r="49" spans="2:8" x14ac:dyDescent="0.45">
      <c r="B49" s="9" t="s">
        <v>17</v>
      </c>
      <c r="C49" s="10">
        <v>0.1</v>
      </c>
      <c r="G49" s="9" t="s">
        <v>17</v>
      </c>
      <c r="H49" s="10">
        <v>0.68</v>
      </c>
    </row>
    <row r="50" spans="2:8" x14ac:dyDescent="0.45">
      <c r="B50" s="9" t="s">
        <v>18</v>
      </c>
      <c r="C50" s="10">
        <v>0.04</v>
      </c>
      <c r="G50" s="9" t="s">
        <v>18</v>
      </c>
      <c r="H50" s="10">
        <v>0.66</v>
      </c>
    </row>
    <row r="51" spans="2:8" x14ac:dyDescent="0.45">
      <c r="B51" s="9" t="s">
        <v>19</v>
      </c>
      <c r="C51" s="10">
        <v>7.0000000000000007E-2</v>
      </c>
      <c r="G51" s="9" t="s">
        <v>19</v>
      </c>
      <c r="H51" s="10">
        <v>0.65</v>
      </c>
    </row>
    <row r="52" spans="2:8" x14ac:dyDescent="0.45">
      <c r="B52" s="11" t="s">
        <v>20</v>
      </c>
      <c r="C52" s="12">
        <v>0.1</v>
      </c>
      <c r="G52" s="11" t="s">
        <v>20</v>
      </c>
      <c r="H52" s="12">
        <v>0.65</v>
      </c>
    </row>
    <row r="53" spans="2:8" x14ac:dyDescent="0.45">
      <c r="B53" s="13"/>
      <c r="C53" s="14" t="s">
        <v>11</v>
      </c>
      <c r="G53" s="13"/>
      <c r="H53" s="14" t="s">
        <v>11</v>
      </c>
    </row>
    <row r="54" spans="2:8" x14ac:dyDescent="0.45">
      <c r="B54" s="11"/>
      <c r="C54" s="10">
        <f>_xlfn.STDEV.P(C48:C52)</f>
        <v>2.3323807579381229E-2</v>
      </c>
      <c r="G54" s="11"/>
      <c r="H54" s="10">
        <f>_xlfn.STDEV.P(H48:H52)</f>
        <v>1.3564659966250548E-2</v>
      </c>
    </row>
    <row r="55" spans="2:8" x14ac:dyDescent="0.45">
      <c r="B55" s="9"/>
      <c r="C55" s="14" t="s">
        <v>15</v>
      </c>
      <c r="G55" s="9"/>
      <c r="H55" s="14" t="s">
        <v>15</v>
      </c>
    </row>
    <row r="56" spans="2:8" x14ac:dyDescent="0.45">
      <c r="B56" s="9"/>
      <c r="C56" s="16">
        <f>AVERAGE(C48:C52)</f>
        <v>7.3999999999999996E-2</v>
      </c>
      <c r="G56" s="9"/>
      <c r="H56" s="16">
        <f>AVERAGE(H48:H52)</f>
        <v>0.66399999999999992</v>
      </c>
    </row>
    <row r="57" spans="2:8" ht="15.4" thickBot="1" x14ac:dyDescent="0.5">
      <c r="B57" s="15"/>
      <c r="C57" s="17"/>
      <c r="G57" s="15"/>
      <c r="H57" s="17"/>
    </row>
    <row r="58" spans="2:8" x14ac:dyDescent="0.45">
      <c r="B58" s="7">
        <v>6</v>
      </c>
      <c r="C58" s="8" t="s">
        <v>10</v>
      </c>
      <c r="G58" s="7">
        <v>6</v>
      </c>
      <c r="H58" s="8" t="s">
        <v>10</v>
      </c>
    </row>
    <row r="59" spans="2:8" x14ac:dyDescent="0.45">
      <c r="B59" s="9" t="s">
        <v>16</v>
      </c>
      <c r="C59" s="10">
        <v>0.08</v>
      </c>
      <c r="G59" s="9" t="s">
        <v>16</v>
      </c>
      <c r="H59" s="10">
        <v>0.86</v>
      </c>
    </row>
    <row r="60" spans="2:8" x14ac:dyDescent="0.45">
      <c r="B60" s="9" t="s">
        <v>17</v>
      </c>
      <c r="C60" s="10">
        <v>0.09</v>
      </c>
      <c r="G60" s="9" t="s">
        <v>17</v>
      </c>
      <c r="H60" s="10">
        <v>0.83</v>
      </c>
    </row>
    <row r="61" spans="2:8" x14ac:dyDescent="0.45">
      <c r="B61" s="9" t="s">
        <v>18</v>
      </c>
      <c r="C61" s="10">
        <v>0.16</v>
      </c>
      <c r="G61" s="9" t="s">
        <v>18</v>
      </c>
      <c r="H61" s="10">
        <v>0.83</v>
      </c>
    </row>
    <row r="62" spans="2:8" x14ac:dyDescent="0.45">
      <c r="B62" s="9" t="s">
        <v>19</v>
      </c>
      <c r="C62" s="10">
        <v>0.08</v>
      </c>
      <c r="G62" s="9" t="s">
        <v>19</v>
      </c>
      <c r="H62" s="10">
        <v>0.84</v>
      </c>
    </row>
    <row r="63" spans="2:8" x14ac:dyDescent="0.45">
      <c r="B63" s="11" t="s">
        <v>20</v>
      </c>
      <c r="C63" s="12">
        <v>0.1</v>
      </c>
      <c r="G63" s="11" t="s">
        <v>20</v>
      </c>
      <c r="H63" s="12">
        <v>0.82</v>
      </c>
    </row>
    <row r="64" spans="2:8" x14ac:dyDescent="0.45">
      <c r="B64" s="13"/>
      <c r="C64" s="14" t="s">
        <v>11</v>
      </c>
      <c r="G64" s="13"/>
      <c r="H64" s="14" t="s">
        <v>11</v>
      </c>
    </row>
    <row r="65" spans="2:8" x14ac:dyDescent="0.45">
      <c r="B65" s="11"/>
      <c r="C65" s="10">
        <f>_xlfn.STDEV.P(C59:C63)</f>
        <v>2.9933259094191554E-2</v>
      </c>
      <c r="G65" s="11"/>
      <c r="H65" s="10">
        <f>_xlfn.STDEV.P(H59:H63)</f>
        <v>1.3564659966250548E-2</v>
      </c>
    </row>
    <row r="66" spans="2:8" x14ac:dyDescent="0.45">
      <c r="B66" s="9"/>
      <c r="C66" s="14" t="s">
        <v>15</v>
      </c>
      <c r="G66" s="9"/>
      <c r="H66" s="14" t="s">
        <v>15</v>
      </c>
    </row>
    <row r="67" spans="2:8" x14ac:dyDescent="0.45">
      <c r="B67" s="9"/>
      <c r="C67" s="16">
        <f>AVERAGE(C59:C63)</f>
        <v>0.10200000000000001</v>
      </c>
      <c r="G67" s="9"/>
      <c r="H67" s="16">
        <f>AVERAGE(H59:H63)</f>
        <v>0.83599999999999997</v>
      </c>
    </row>
    <row r="68" spans="2:8" ht="15.4" thickBot="1" x14ac:dyDescent="0.5">
      <c r="B68" s="15"/>
      <c r="C68" s="17"/>
      <c r="G68" s="15"/>
      <c r="H68" s="17"/>
    </row>
    <row r="69" spans="2:8" x14ac:dyDescent="0.45">
      <c r="B69" s="7">
        <v>7</v>
      </c>
      <c r="C69" s="8" t="s">
        <v>10</v>
      </c>
      <c r="G69" s="7">
        <v>7</v>
      </c>
      <c r="H69" s="8" t="s">
        <v>10</v>
      </c>
    </row>
    <row r="70" spans="2:8" x14ac:dyDescent="0.45">
      <c r="B70" s="9" t="s">
        <v>16</v>
      </c>
      <c r="C70" s="10">
        <v>0.2</v>
      </c>
      <c r="G70" s="9" t="s">
        <v>16</v>
      </c>
      <c r="H70" s="10">
        <v>1.07</v>
      </c>
    </row>
    <row r="71" spans="2:8" x14ac:dyDescent="0.45">
      <c r="B71" s="9" t="s">
        <v>17</v>
      </c>
      <c r="C71" s="10">
        <v>0.16</v>
      </c>
      <c r="G71" s="9" t="s">
        <v>17</v>
      </c>
      <c r="H71" s="10">
        <v>1.05</v>
      </c>
    </row>
    <row r="72" spans="2:8" x14ac:dyDescent="0.45">
      <c r="B72" s="9" t="s">
        <v>18</v>
      </c>
      <c r="C72" s="10">
        <v>0.17</v>
      </c>
      <c r="G72" s="9" t="s">
        <v>18</v>
      </c>
      <c r="H72" s="10">
        <v>1.07</v>
      </c>
    </row>
    <row r="73" spans="2:8" x14ac:dyDescent="0.45">
      <c r="B73" s="9" t="s">
        <v>19</v>
      </c>
      <c r="C73" s="10">
        <v>0.2</v>
      </c>
      <c r="G73" s="9" t="s">
        <v>19</v>
      </c>
      <c r="H73" s="10">
        <v>1.05</v>
      </c>
    </row>
    <row r="74" spans="2:8" x14ac:dyDescent="0.45">
      <c r="B74" s="11" t="s">
        <v>20</v>
      </c>
      <c r="C74" s="12">
        <v>0.16</v>
      </c>
      <c r="G74" s="11" t="s">
        <v>20</v>
      </c>
      <c r="H74" s="12">
        <v>1.03</v>
      </c>
    </row>
    <row r="75" spans="2:8" x14ac:dyDescent="0.45">
      <c r="B75" s="13"/>
      <c r="C75" s="14" t="s">
        <v>11</v>
      </c>
      <c r="G75" s="13"/>
      <c r="H75" s="14" t="s">
        <v>11</v>
      </c>
    </row>
    <row r="76" spans="2:8" x14ac:dyDescent="0.45">
      <c r="B76" s="11"/>
      <c r="C76" s="10">
        <f>_xlfn.STDEV.P(C70:C74)</f>
        <v>1.8330302779823442E-2</v>
      </c>
      <c r="G76" s="11"/>
      <c r="H76" s="10">
        <f>_xlfn.STDEV.P(H70:H74)</f>
        <v>1.4966629547095779E-2</v>
      </c>
    </row>
    <row r="77" spans="2:8" x14ac:dyDescent="0.45">
      <c r="B77" s="9"/>
      <c r="C77" s="14" t="s">
        <v>15</v>
      </c>
      <c r="G77" s="9"/>
      <c r="H77" s="14" t="s">
        <v>15</v>
      </c>
    </row>
    <row r="78" spans="2:8" x14ac:dyDescent="0.45">
      <c r="B78" s="9"/>
      <c r="C78" s="16">
        <f>AVERAGE(C70:C74)</f>
        <v>0.17799999999999999</v>
      </c>
      <c r="G78" s="9"/>
      <c r="H78" s="16">
        <f>AVERAGE(H70:H74)</f>
        <v>1.054</v>
      </c>
    </row>
    <row r="79" spans="2:8" ht="15.4" thickBot="1" x14ac:dyDescent="0.5">
      <c r="B79" s="15"/>
      <c r="C79" s="17"/>
      <c r="G79" s="15"/>
      <c r="H79" s="17"/>
    </row>
    <row r="80" spans="2:8" x14ac:dyDescent="0.45">
      <c r="B80" s="7">
        <v>8</v>
      </c>
      <c r="C80" s="8" t="s">
        <v>10</v>
      </c>
      <c r="G80" s="7">
        <v>8</v>
      </c>
      <c r="H80" s="8" t="s">
        <v>10</v>
      </c>
    </row>
    <row r="81" spans="2:8" x14ac:dyDescent="0.45">
      <c r="B81" s="9" t="s">
        <v>16</v>
      </c>
      <c r="C81" s="10">
        <v>0.31</v>
      </c>
      <c r="G81" s="9" t="s">
        <v>16</v>
      </c>
      <c r="H81" s="10">
        <v>1.0900000000000001</v>
      </c>
    </row>
    <row r="82" spans="2:8" x14ac:dyDescent="0.45">
      <c r="B82" s="9" t="s">
        <v>17</v>
      </c>
      <c r="C82" s="10">
        <v>0.35</v>
      </c>
      <c r="G82" s="9" t="s">
        <v>17</v>
      </c>
      <c r="H82" s="10">
        <v>1.08</v>
      </c>
    </row>
    <row r="83" spans="2:8" x14ac:dyDescent="0.45">
      <c r="B83" s="9" t="s">
        <v>18</v>
      </c>
      <c r="C83" s="10">
        <v>0.3</v>
      </c>
      <c r="G83" s="9" t="s">
        <v>18</v>
      </c>
      <c r="H83" s="10">
        <v>1.1100000000000001</v>
      </c>
    </row>
    <row r="84" spans="2:8" x14ac:dyDescent="0.45">
      <c r="B84" s="9" t="s">
        <v>19</v>
      </c>
      <c r="C84" s="10">
        <v>0.33</v>
      </c>
      <c r="G84" s="9" t="s">
        <v>19</v>
      </c>
      <c r="H84" s="10">
        <v>1.07</v>
      </c>
    </row>
    <row r="85" spans="2:8" x14ac:dyDescent="0.45">
      <c r="B85" s="11" t="s">
        <v>20</v>
      </c>
      <c r="C85" s="12">
        <v>0.31</v>
      </c>
      <c r="G85" s="11" t="s">
        <v>20</v>
      </c>
      <c r="H85" s="12">
        <v>1.08</v>
      </c>
    </row>
    <row r="86" spans="2:8" x14ac:dyDescent="0.45">
      <c r="B86" s="13"/>
      <c r="C86" s="14" t="s">
        <v>11</v>
      </c>
      <c r="G86" s="13"/>
      <c r="H86" s="14" t="s">
        <v>11</v>
      </c>
    </row>
    <row r="87" spans="2:8" x14ac:dyDescent="0.45">
      <c r="B87" s="11"/>
      <c r="C87" s="10">
        <f>_xlfn.STDEV.P(C81:C85)</f>
        <v>1.7888543819998316E-2</v>
      </c>
      <c r="G87" s="11"/>
      <c r="H87" s="10">
        <f>_xlfn.STDEV.P(H81:H85)</f>
        <v>1.3564659966250548E-2</v>
      </c>
    </row>
    <row r="88" spans="2:8" x14ac:dyDescent="0.45">
      <c r="B88" s="9"/>
      <c r="C88" s="14" t="s">
        <v>15</v>
      </c>
      <c r="G88" s="9"/>
      <c r="H88" s="14" t="s">
        <v>15</v>
      </c>
    </row>
    <row r="89" spans="2:8" x14ac:dyDescent="0.45">
      <c r="B89" s="9"/>
      <c r="C89" s="16">
        <f>AVERAGE(C81:C85)</f>
        <v>0.32</v>
      </c>
      <c r="G89" s="9"/>
      <c r="H89" s="16">
        <f>AVERAGE(H81:H85)</f>
        <v>1.0860000000000001</v>
      </c>
    </row>
    <row r="90" spans="2:8" ht="15.4" thickBot="1" x14ac:dyDescent="0.5">
      <c r="B90" s="15"/>
      <c r="C90" s="17"/>
      <c r="G90" s="15"/>
      <c r="H90" s="17"/>
    </row>
    <row r="91" spans="2:8" x14ac:dyDescent="0.45">
      <c r="B91" s="7">
        <v>9</v>
      </c>
      <c r="C91" s="8" t="s">
        <v>10</v>
      </c>
      <c r="G91" s="7">
        <v>9</v>
      </c>
      <c r="H91" s="8" t="s">
        <v>10</v>
      </c>
    </row>
    <row r="92" spans="2:8" x14ac:dyDescent="0.45">
      <c r="B92" s="9" t="s">
        <v>16</v>
      </c>
      <c r="C92" s="10">
        <v>0.55000000000000004</v>
      </c>
      <c r="G92" s="9" t="s">
        <v>16</v>
      </c>
      <c r="H92" s="10">
        <v>1.0900000000000001</v>
      </c>
    </row>
    <row r="93" spans="2:8" x14ac:dyDescent="0.45">
      <c r="B93" s="9" t="s">
        <v>17</v>
      </c>
      <c r="C93" s="10">
        <v>0.56999999999999995</v>
      </c>
      <c r="G93" s="9" t="s">
        <v>17</v>
      </c>
      <c r="H93" s="10">
        <v>1.1299999999999999</v>
      </c>
    </row>
    <row r="94" spans="2:8" x14ac:dyDescent="0.45">
      <c r="B94" s="9" t="s">
        <v>18</v>
      </c>
      <c r="C94" s="10">
        <v>0.56000000000000005</v>
      </c>
      <c r="G94" s="9" t="s">
        <v>18</v>
      </c>
      <c r="H94" s="10">
        <v>1.1200000000000001</v>
      </c>
    </row>
    <row r="95" spans="2:8" x14ac:dyDescent="0.45">
      <c r="B95" s="9" t="s">
        <v>19</v>
      </c>
      <c r="C95" s="10">
        <v>0.57999999999999996</v>
      </c>
      <c r="G95" s="9" t="s">
        <v>19</v>
      </c>
      <c r="H95" s="10">
        <v>1.1100000000000001</v>
      </c>
    </row>
    <row r="96" spans="2:8" x14ac:dyDescent="0.45">
      <c r="B96" s="11" t="s">
        <v>20</v>
      </c>
      <c r="C96" s="12">
        <v>0.56999999999999995</v>
      </c>
      <c r="G96" s="11" t="s">
        <v>20</v>
      </c>
      <c r="H96" s="12">
        <v>1.1100000000000001</v>
      </c>
    </row>
    <row r="97" spans="2:8" x14ac:dyDescent="0.45">
      <c r="B97" s="13"/>
      <c r="C97" s="14" t="s">
        <v>11</v>
      </c>
      <c r="G97" s="13"/>
      <c r="H97" s="14" t="s">
        <v>11</v>
      </c>
    </row>
    <row r="98" spans="2:8" x14ac:dyDescent="0.45">
      <c r="B98" s="11"/>
      <c r="C98" s="10">
        <f>_xlfn.STDEV.P(C92:C96)</f>
        <v>1.0198039027185531E-2</v>
      </c>
      <c r="G98" s="11"/>
      <c r="H98" s="10">
        <f>_xlfn.STDEV.P(H92:H96)</f>
        <v>1.3266499161421551E-2</v>
      </c>
    </row>
    <row r="99" spans="2:8" x14ac:dyDescent="0.45">
      <c r="B99" s="9"/>
      <c r="C99" s="14" t="s">
        <v>15</v>
      </c>
      <c r="G99" s="9"/>
      <c r="H99" s="14" t="s">
        <v>15</v>
      </c>
    </row>
    <row r="100" spans="2:8" x14ac:dyDescent="0.45">
      <c r="B100" s="9"/>
      <c r="C100" s="16">
        <f>AVERAGE(C92:C96)</f>
        <v>0.56600000000000006</v>
      </c>
      <c r="G100" s="9"/>
      <c r="H100" s="16">
        <f>AVERAGE(H92:H96)</f>
        <v>1.1120000000000001</v>
      </c>
    </row>
    <row r="101" spans="2:8" ht="15.4" thickBot="1" x14ac:dyDescent="0.5">
      <c r="B101" s="15"/>
      <c r="C101" s="17"/>
      <c r="G101" s="15"/>
      <c r="H101" s="17"/>
    </row>
    <row r="102" spans="2:8" x14ac:dyDescent="0.45">
      <c r="B102" s="7">
        <v>10</v>
      </c>
      <c r="C102" s="8" t="s">
        <v>10</v>
      </c>
      <c r="G102" s="7">
        <v>10</v>
      </c>
      <c r="H102" s="8" t="s">
        <v>10</v>
      </c>
    </row>
    <row r="103" spans="2:8" x14ac:dyDescent="0.45">
      <c r="B103" s="9" t="s">
        <v>16</v>
      </c>
      <c r="C103" s="10">
        <v>0.79</v>
      </c>
      <c r="G103" s="9" t="s">
        <v>16</v>
      </c>
      <c r="H103" s="10">
        <v>1.17</v>
      </c>
    </row>
    <row r="104" spans="2:8" x14ac:dyDescent="0.45">
      <c r="B104" s="9" t="s">
        <v>17</v>
      </c>
      <c r="C104" s="10">
        <v>0.77</v>
      </c>
      <c r="G104" s="9" t="s">
        <v>17</v>
      </c>
      <c r="H104" s="10">
        <v>1.1599999999999999</v>
      </c>
    </row>
    <row r="105" spans="2:8" x14ac:dyDescent="0.45">
      <c r="B105" s="9" t="s">
        <v>18</v>
      </c>
      <c r="C105" s="10">
        <v>0.78</v>
      </c>
      <c r="G105" s="9" t="s">
        <v>18</v>
      </c>
      <c r="H105" s="10">
        <v>1.1200000000000001</v>
      </c>
    </row>
    <row r="106" spans="2:8" x14ac:dyDescent="0.45">
      <c r="B106" s="9" t="s">
        <v>19</v>
      </c>
      <c r="C106" s="10">
        <v>0.78</v>
      </c>
      <c r="G106" s="9" t="s">
        <v>19</v>
      </c>
      <c r="H106" s="10">
        <v>1.1499999999999999</v>
      </c>
    </row>
    <row r="107" spans="2:8" x14ac:dyDescent="0.45">
      <c r="B107" s="11" t="s">
        <v>20</v>
      </c>
      <c r="C107" s="12">
        <v>0.81</v>
      </c>
      <c r="G107" s="11" t="s">
        <v>20</v>
      </c>
      <c r="H107" s="12">
        <v>1.1399999999999999</v>
      </c>
    </row>
    <row r="108" spans="2:8" x14ac:dyDescent="0.45">
      <c r="B108" s="13"/>
      <c r="C108" s="14" t="s">
        <v>11</v>
      </c>
      <c r="G108" s="13"/>
      <c r="H108" s="14" t="s">
        <v>11</v>
      </c>
    </row>
    <row r="109" spans="2:8" x14ac:dyDescent="0.45">
      <c r="B109" s="11"/>
      <c r="C109" s="10">
        <f>_xlfn.STDEV.P(C103:C107)</f>
        <v>1.3564659966250548E-2</v>
      </c>
      <c r="G109" s="11"/>
      <c r="H109" s="10">
        <f>_xlfn.STDEV.P(H103:H107)</f>
        <v>1.7204650534085198E-2</v>
      </c>
    </row>
    <row r="110" spans="2:8" x14ac:dyDescent="0.45">
      <c r="B110" s="9"/>
      <c r="C110" s="14" t="s">
        <v>15</v>
      </c>
      <c r="G110" s="9"/>
      <c r="H110" s="14" t="s">
        <v>15</v>
      </c>
    </row>
    <row r="111" spans="2:8" x14ac:dyDescent="0.45">
      <c r="B111" s="9"/>
      <c r="C111" s="16">
        <f>AVERAGE(C103:C107)</f>
        <v>0.78600000000000003</v>
      </c>
      <c r="G111" s="9"/>
      <c r="H111" s="16">
        <f>AVERAGE(H103:H107)</f>
        <v>1.1479999999999999</v>
      </c>
    </row>
    <row r="112" spans="2:8" ht="15.4" thickBot="1" x14ac:dyDescent="0.5">
      <c r="B112" s="15"/>
      <c r="C112" s="17"/>
      <c r="G112" s="15"/>
      <c r="H112" s="17"/>
    </row>
    <row r="113" spans="2:8" x14ac:dyDescent="0.45">
      <c r="B113" s="7">
        <v>11</v>
      </c>
      <c r="C113" s="8" t="s">
        <v>10</v>
      </c>
      <c r="G113" s="7">
        <v>11</v>
      </c>
      <c r="H113" s="8" t="s">
        <v>10</v>
      </c>
    </row>
    <row r="114" spans="2:8" x14ac:dyDescent="0.45">
      <c r="B114" s="9" t="s">
        <v>16</v>
      </c>
      <c r="C114" s="10">
        <v>0.93</v>
      </c>
      <c r="G114" s="9" t="s">
        <v>16</v>
      </c>
      <c r="H114" s="10">
        <v>1.1100000000000001</v>
      </c>
    </row>
    <row r="115" spans="2:8" x14ac:dyDescent="0.45">
      <c r="B115" s="9" t="s">
        <v>17</v>
      </c>
      <c r="C115" s="10">
        <v>0.92</v>
      </c>
      <c r="G115" s="9" t="s">
        <v>17</v>
      </c>
      <c r="H115" s="10">
        <v>1.1200000000000001</v>
      </c>
    </row>
    <row r="116" spans="2:8" x14ac:dyDescent="0.45">
      <c r="B116" s="9" t="s">
        <v>18</v>
      </c>
      <c r="C116" s="10">
        <v>0.94</v>
      </c>
      <c r="G116" s="9" t="s">
        <v>18</v>
      </c>
      <c r="H116" s="10">
        <v>1.1299999999999999</v>
      </c>
    </row>
    <row r="117" spans="2:8" x14ac:dyDescent="0.45">
      <c r="B117" s="9" t="s">
        <v>19</v>
      </c>
      <c r="C117" s="10">
        <v>0.94</v>
      </c>
      <c r="G117" s="9" t="s">
        <v>19</v>
      </c>
      <c r="H117" s="10">
        <v>1.1299999999999999</v>
      </c>
    </row>
    <row r="118" spans="2:8" x14ac:dyDescent="0.45">
      <c r="B118" s="11" t="s">
        <v>20</v>
      </c>
      <c r="C118" s="12">
        <v>0.93</v>
      </c>
      <c r="G118" s="11" t="s">
        <v>20</v>
      </c>
      <c r="H118" s="12">
        <v>1.1499999999999999</v>
      </c>
    </row>
    <row r="119" spans="2:8" x14ac:dyDescent="0.45">
      <c r="B119" s="13"/>
      <c r="C119" s="14" t="s">
        <v>11</v>
      </c>
      <c r="G119" s="13"/>
      <c r="H119" s="14" t="s">
        <v>11</v>
      </c>
    </row>
    <row r="120" spans="2:8" x14ac:dyDescent="0.45">
      <c r="B120" s="11"/>
      <c r="C120" s="10">
        <f>_xlfn.STDEV.P(C114:C118)</f>
        <v>7.4833147735478417E-3</v>
      </c>
      <c r="G120" s="11"/>
      <c r="H120" s="10">
        <f>_xlfn.STDEV.P(H114:H118)</f>
        <v>1.3266499161421523E-2</v>
      </c>
    </row>
    <row r="121" spans="2:8" x14ac:dyDescent="0.45">
      <c r="B121" s="9"/>
      <c r="C121" s="14" t="s">
        <v>15</v>
      </c>
      <c r="G121" s="9"/>
      <c r="H121" s="14" t="s">
        <v>15</v>
      </c>
    </row>
    <row r="122" spans="2:8" x14ac:dyDescent="0.45">
      <c r="B122" s="9"/>
      <c r="C122" s="16">
        <f>AVERAGE(C114:C118)</f>
        <v>0.93200000000000005</v>
      </c>
      <c r="G122" s="9"/>
      <c r="H122" s="16">
        <f>AVERAGE(H114:H118)</f>
        <v>1.1280000000000001</v>
      </c>
    </row>
    <row r="123" spans="2:8" ht="15.4" thickBot="1" x14ac:dyDescent="0.5">
      <c r="B123" s="15"/>
      <c r="C123" s="17"/>
      <c r="G123" s="15"/>
      <c r="H123" s="17"/>
    </row>
    <row r="124" spans="2:8" x14ac:dyDescent="0.45">
      <c r="B124" s="7">
        <v>12</v>
      </c>
      <c r="C124" s="8" t="s">
        <v>10</v>
      </c>
      <c r="G124" s="7">
        <v>12</v>
      </c>
      <c r="H124" s="8" t="s">
        <v>10</v>
      </c>
    </row>
    <row r="125" spans="2:8" x14ac:dyDescent="0.45">
      <c r="B125" s="9" t="s">
        <v>16</v>
      </c>
      <c r="C125" s="10">
        <v>0.98</v>
      </c>
      <c r="G125" s="9" t="s">
        <v>16</v>
      </c>
      <c r="H125" s="10">
        <v>1.1100000000000001</v>
      </c>
    </row>
    <row r="126" spans="2:8" x14ac:dyDescent="0.45">
      <c r="B126" s="9" t="s">
        <v>17</v>
      </c>
      <c r="C126" s="10">
        <v>0.97</v>
      </c>
      <c r="G126" s="9" t="s">
        <v>17</v>
      </c>
      <c r="H126" s="10">
        <v>1.1000000000000001</v>
      </c>
    </row>
    <row r="127" spans="2:8" x14ac:dyDescent="0.45">
      <c r="B127" s="9" t="s">
        <v>18</v>
      </c>
      <c r="C127" s="10">
        <v>0.97</v>
      </c>
      <c r="G127" s="9" t="s">
        <v>18</v>
      </c>
      <c r="H127" s="10">
        <v>1.1200000000000001</v>
      </c>
    </row>
    <row r="128" spans="2:8" x14ac:dyDescent="0.45">
      <c r="B128" s="9" t="s">
        <v>19</v>
      </c>
      <c r="C128" s="10">
        <v>0.98</v>
      </c>
      <c r="G128" s="9" t="s">
        <v>19</v>
      </c>
      <c r="H128" s="10">
        <v>1.1299999999999999</v>
      </c>
    </row>
    <row r="129" spans="2:8" x14ac:dyDescent="0.45">
      <c r="B129" s="11" t="s">
        <v>20</v>
      </c>
      <c r="C129" s="12">
        <v>0.98</v>
      </c>
      <c r="G129" s="11" t="s">
        <v>20</v>
      </c>
      <c r="H129" s="12">
        <v>1.08</v>
      </c>
    </row>
    <row r="130" spans="2:8" x14ac:dyDescent="0.45">
      <c r="B130" s="13"/>
      <c r="C130" s="14" t="s">
        <v>11</v>
      </c>
      <c r="G130" s="13"/>
      <c r="H130" s="14" t="s">
        <v>11</v>
      </c>
    </row>
    <row r="131" spans="2:8" x14ac:dyDescent="0.45">
      <c r="B131" s="11"/>
      <c r="C131" s="10">
        <f>_xlfn.STDEV.P(C125:C129)</f>
        <v>4.8989794855663609E-3</v>
      </c>
      <c r="G131" s="11"/>
      <c r="H131" s="10">
        <f>_xlfn.STDEV.P(H125:H129)</f>
        <v>1.7204650534085215E-2</v>
      </c>
    </row>
    <row r="132" spans="2:8" x14ac:dyDescent="0.45">
      <c r="B132" s="9"/>
      <c r="C132" s="14" t="s">
        <v>15</v>
      </c>
      <c r="G132" s="9"/>
      <c r="H132" s="14" t="s">
        <v>15</v>
      </c>
    </row>
    <row r="133" spans="2:8" x14ac:dyDescent="0.45">
      <c r="B133" s="9"/>
      <c r="C133" s="16">
        <f>AVERAGE(C125:C129)</f>
        <v>0.97599999999999998</v>
      </c>
      <c r="G133" s="9"/>
      <c r="H133" s="16">
        <f>AVERAGE(H125:H129)</f>
        <v>1.1080000000000001</v>
      </c>
    </row>
    <row r="134" spans="2:8" ht="15.4" thickBot="1" x14ac:dyDescent="0.5">
      <c r="B134" s="15"/>
      <c r="C134" s="17"/>
      <c r="G134" s="15"/>
      <c r="H134" s="17"/>
    </row>
    <row r="135" spans="2:8" x14ac:dyDescent="0.45">
      <c r="B135" s="7">
        <v>13</v>
      </c>
      <c r="C135" s="8" t="s">
        <v>10</v>
      </c>
      <c r="G135" s="7">
        <v>13</v>
      </c>
      <c r="H135" s="8" t="s">
        <v>10</v>
      </c>
    </row>
    <row r="136" spans="2:8" x14ac:dyDescent="0.45">
      <c r="B136" s="9" t="s">
        <v>16</v>
      </c>
      <c r="C136" s="10">
        <v>0.97</v>
      </c>
      <c r="G136" s="9" t="s">
        <v>16</v>
      </c>
      <c r="H136" s="10">
        <v>1.1000000000000001</v>
      </c>
    </row>
    <row r="137" spans="2:8" x14ac:dyDescent="0.45">
      <c r="B137" s="9" t="s">
        <v>17</v>
      </c>
      <c r="C137" s="10">
        <v>1</v>
      </c>
      <c r="G137" s="9" t="s">
        <v>17</v>
      </c>
      <c r="H137" s="10">
        <v>1.0900000000000001</v>
      </c>
    </row>
    <row r="138" spans="2:8" x14ac:dyDescent="0.45">
      <c r="B138" s="9" t="s">
        <v>18</v>
      </c>
      <c r="C138" s="10">
        <v>0.98</v>
      </c>
      <c r="G138" s="9" t="s">
        <v>18</v>
      </c>
      <c r="H138" s="10">
        <v>1.3</v>
      </c>
    </row>
    <row r="139" spans="2:8" x14ac:dyDescent="0.45">
      <c r="B139" s="9" t="s">
        <v>19</v>
      </c>
      <c r="C139" s="10">
        <v>0.98</v>
      </c>
      <c r="G139" s="9" t="s">
        <v>19</v>
      </c>
      <c r="H139" s="10">
        <v>1.1000000000000001</v>
      </c>
    </row>
    <row r="140" spans="2:8" x14ac:dyDescent="0.45">
      <c r="B140" s="11" t="s">
        <v>20</v>
      </c>
      <c r="C140" s="12">
        <v>0.99</v>
      </c>
      <c r="G140" s="11" t="s">
        <v>20</v>
      </c>
      <c r="H140" s="12">
        <v>1.0900000000000001</v>
      </c>
    </row>
    <row r="141" spans="2:8" x14ac:dyDescent="0.45">
      <c r="B141" s="13"/>
      <c r="C141" s="14" t="s">
        <v>11</v>
      </c>
      <c r="G141" s="13"/>
      <c r="H141" s="14" t="s">
        <v>11</v>
      </c>
    </row>
    <row r="142" spans="2:8" x14ac:dyDescent="0.45">
      <c r="B142" s="11"/>
      <c r="C142" s="10">
        <f>_xlfn.STDEV.P(C136:C140)</f>
        <v>1.0198039027185579E-2</v>
      </c>
      <c r="G142" s="11"/>
      <c r="H142" s="10">
        <f>_xlfn.STDEV.P(H136:H140)</f>
        <v>8.2121860670591226E-2</v>
      </c>
    </row>
    <row r="143" spans="2:8" x14ac:dyDescent="0.45">
      <c r="B143" s="9"/>
      <c r="C143" s="14" t="s">
        <v>15</v>
      </c>
      <c r="G143" s="9"/>
      <c r="H143" s="14" t="s">
        <v>15</v>
      </c>
    </row>
    <row r="144" spans="2:8" x14ac:dyDescent="0.45">
      <c r="B144" s="9"/>
      <c r="C144" s="16">
        <f>AVERAGE(C136:C140)</f>
        <v>0.98399999999999999</v>
      </c>
      <c r="G144" s="9"/>
      <c r="H144" s="16">
        <f>AVERAGE(H136:H140)</f>
        <v>1.1359999999999999</v>
      </c>
    </row>
    <row r="145" spans="2:8" ht="15.4" thickBot="1" x14ac:dyDescent="0.5">
      <c r="B145" s="15"/>
      <c r="C145" s="17"/>
      <c r="G145" s="15"/>
      <c r="H145" s="17"/>
    </row>
    <row r="146" spans="2:8" x14ac:dyDescent="0.45">
      <c r="B146" s="7">
        <v>14</v>
      </c>
      <c r="C146" s="8" t="s">
        <v>10</v>
      </c>
      <c r="G146" s="7">
        <v>14</v>
      </c>
      <c r="H146" s="8" t="s">
        <v>10</v>
      </c>
    </row>
    <row r="147" spans="2:8" x14ac:dyDescent="0.45">
      <c r="B147" s="9" t="s">
        <v>16</v>
      </c>
      <c r="C147" s="10">
        <v>1</v>
      </c>
      <c r="G147" s="9" t="s">
        <v>16</v>
      </c>
      <c r="H147" s="10">
        <v>1.1399999999999999</v>
      </c>
    </row>
    <row r="148" spans="2:8" x14ac:dyDescent="0.45">
      <c r="B148" s="9" t="s">
        <v>17</v>
      </c>
      <c r="C148" s="10">
        <v>1</v>
      </c>
      <c r="G148" s="9" t="s">
        <v>17</v>
      </c>
      <c r="H148" s="10">
        <v>1.1499999999999999</v>
      </c>
    </row>
    <row r="149" spans="2:8" x14ac:dyDescent="0.45">
      <c r="B149" s="9" t="s">
        <v>18</v>
      </c>
      <c r="C149" s="10">
        <v>0.95</v>
      </c>
      <c r="G149" s="9" t="s">
        <v>18</v>
      </c>
      <c r="H149" s="10">
        <v>1.1200000000000001</v>
      </c>
    </row>
    <row r="150" spans="2:8" x14ac:dyDescent="0.45">
      <c r="B150" s="9" t="s">
        <v>19</v>
      </c>
      <c r="C150" s="10">
        <v>0.96</v>
      </c>
      <c r="G150" s="9" t="s">
        <v>19</v>
      </c>
      <c r="H150" s="10">
        <v>1.1299999999999999</v>
      </c>
    </row>
    <row r="151" spans="2:8" x14ac:dyDescent="0.45">
      <c r="B151" s="11" t="s">
        <v>20</v>
      </c>
      <c r="C151" s="12">
        <v>0.94</v>
      </c>
      <c r="G151" s="11" t="s">
        <v>20</v>
      </c>
      <c r="H151" s="12">
        <v>1.1200000000000001</v>
      </c>
    </row>
    <row r="152" spans="2:8" x14ac:dyDescent="0.45">
      <c r="B152" s="13"/>
      <c r="C152" s="14" t="s">
        <v>11</v>
      </c>
      <c r="G152" s="13"/>
      <c r="H152" s="14" t="s">
        <v>11</v>
      </c>
    </row>
    <row r="153" spans="2:8" x14ac:dyDescent="0.45">
      <c r="B153" s="11"/>
      <c r="C153" s="10">
        <f>_xlfn.STDEV.P(C147:C151)</f>
        <v>2.5298221281347056E-2</v>
      </c>
      <c r="G153" s="11"/>
      <c r="H153" s="10">
        <f>_xlfn.STDEV.P(H147:H151)</f>
        <v>1.1661903789690519E-2</v>
      </c>
    </row>
    <row r="154" spans="2:8" x14ac:dyDescent="0.45">
      <c r="B154" s="9"/>
      <c r="C154" s="14" t="s">
        <v>15</v>
      </c>
      <c r="G154" s="9"/>
      <c r="H154" s="14" t="s">
        <v>15</v>
      </c>
    </row>
    <row r="155" spans="2:8" x14ac:dyDescent="0.45">
      <c r="B155" s="9"/>
      <c r="C155" s="16">
        <f>AVERAGE(C147:C151)</f>
        <v>0.97</v>
      </c>
      <c r="G155" s="9"/>
      <c r="H155" s="16">
        <f>AVERAGE(H147:H151)</f>
        <v>1.1320000000000001</v>
      </c>
    </row>
    <row r="156" spans="2:8" ht="15.4" thickBot="1" x14ac:dyDescent="0.5">
      <c r="B156" s="15"/>
      <c r="C156" s="17"/>
      <c r="G156" s="15"/>
      <c r="H156" s="17"/>
    </row>
    <row r="157" spans="2:8" x14ac:dyDescent="0.45">
      <c r="B157" s="7">
        <v>15</v>
      </c>
      <c r="C157" s="8" t="s">
        <v>10</v>
      </c>
      <c r="G157" s="7">
        <v>15</v>
      </c>
      <c r="H157" s="8" t="s">
        <v>10</v>
      </c>
    </row>
    <row r="158" spans="2:8" x14ac:dyDescent="0.45">
      <c r="B158" s="9" t="s">
        <v>16</v>
      </c>
      <c r="C158" s="10">
        <v>0.95</v>
      </c>
      <c r="G158" s="9" t="s">
        <v>16</v>
      </c>
      <c r="H158" s="10">
        <v>1.0900000000000001</v>
      </c>
    </row>
    <row r="159" spans="2:8" x14ac:dyDescent="0.45">
      <c r="B159" s="9" t="s">
        <v>17</v>
      </c>
      <c r="C159" s="10">
        <v>0.95</v>
      </c>
      <c r="G159" s="9" t="s">
        <v>17</v>
      </c>
      <c r="H159" s="10">
        <v>1.07</v>
      </c>
    </row>
    <row r="160" spans="2:8" x14ac:dyDescent="0.45">
      <c r="B160" s="9" t="s">
        <v>18</v>
      </c>
      <c r="C160" s="10">
        <v>0.93</v>
      </c>
      <c r="G160" s="9" t="s">
        <v>18</v>
      </c>
      <c r="H160" s="10">
        <v>1.08</v>
      </c>
    </row>
    <row r="161" spans="2:8" x14ac:dyDescent="0.45">
      <c r="B161" s="9" t="s">
        <v>19</v>
      </c>
      <c r="C161" s="10">
        <v>0.94</v>
      </c>
      <c r="G161" s="9" t="s">
        <v>19</v>
      </c>
      <c r="H161" s="10">
        <v>1.0900000000000001</v>
      </c>
    </row>
    <row r="162" spans="2:8" x14ac:dyDescent="0.45">
      <c r="B162" s="11" t="s">
        <v>20</v>
      </c>
      <c r="C162" s="12">
        <v>0.95</v>
      </c>
      <c r="G162" s="11" t="s">
        <v>20</v>
      </c>
      <c r="H162" s="12">
        <v>1.0900000000000001</v>
      </c>
    </row>
    <row r="163" spans="2:8" x14ac:dyDescent="0.45">
      <c r="B163" s="13"/>
      <c r="C163" s="14" t="s">
        <v>11</v>
      </c>
      <c r="G163" s="13"/>
      <c r="H163" s="14" t="s">
        <v>11</v>
      </c>
    </row>
    <row r="164" spans="2:8" x14ac:dyDescent="0.45">
      <c r="B164" s="11"/>
      <c r="C164" s="10">
        <f>_xlfn.STDEV.P(C158:C162)</f>
        <v>7.9999999999999672E-3</v>
      </c>
      <c r="G164" s="11"/>
      <c r="H164" s="10">
        <f>_xlfn.STDEV.P(H158:H162)</f>
        <v>8.0000000000000071E-3</v>
      </c>
    </row>
    <row r="165" spans="2:8" x14ac:dyDescent="0.45">
      <c r="B165" s="9"/>
      <c r="C165" s="14" t="s">
        <v>15</v>
      </c>
      <c r="G165" s="9"/>
      <c r="H165" s="14" t="s">
        <v>15</v>
      </c>
    </row>
    <row r="166" spans="2:8" x14ac:dyDescent="0.45">
      <c r="B166" s="9"/>
      <c r="C166" s="16">
        <f>AVERAGE(C158:C162)</f>
        <v>0.94399999999999995</v>
      </c>
      <c r="G166" s="9"/>
      <c r="H166" s="16">
        <f>AVERAGE(H158:H162)</f>
        <v>1.0840000000000001</v>
      </c>
    </row>
    <row r="167" spans="2:8" ht="15.4" thickBot="1" x14ac:dyDescent="0.5">
      <c r="B167" s="15"/>
      <c r="C167" s="17"/>
      <c r="G167" s="15"/>
      <c r="H167" s="17"/>
    </row>
    <row r="168" spans="2:8" x14ac:dyDescent="0.45">
      <c r="B168" s="7">
        <v>16</v>
      </c>
      <c r="C168" s="8" t="s">
        <v>10</v>
      </c>
      <c r="G168" s="7">
        <v>16</v>
      </c>
      <c r="H168" s="8" t="s">
        <v>10</v>
      </c>
    </row>
    <row r="169" spans="2:8" x14ac:dyDescent="0.45">
      <c r="B169" s="9" t="s">
        <v>16</v>
      </c>
      <c r="C169" s="10">
        <v>0.94</v>
      </c>
      <c r="G169" s="9" t="s">
        <v>16</v>
      </c>
      <c r="H169" s="10">
        <v>1.1000000000000001</v>
      </c>
    </row>
    <row r="170" spans="2:8" x14ac:dyDescent="0.45">
      <c r="B170" s="9" t="s">
        <v>17</v>
      </c>
      <c r="C170" s="10">
        <v>0.95</v>
      </c>
      <c r="G170" s="9" t="s">
        <v>17</v>
      </c>
      <c r="H170" s="10">
        <v>1.1100000000000001</v>
      </c>
    </row>
    <row r="171" spans="2:8" x14ac:dyDescent="0.45">
      <c r="B171" s="9" t="s">
        <v>18</v>
      </c>
      <c r="C171" s="10">
        <v>0.98</v>
      </c>
      <c r="G171" s="9" t="s">
        <v>18</v>
      </c>
      <c r="H171" s="10">
        <v>1.1000000000000001</v>
      </c>
    </row>
    <row r="172" spans="2:8" x14ac:dyDescent="0.45">
      <c r="B172" s="9" t="s">
        <v>19</v>
      </c>
      <c r="C172" s="10">
        <v>0.93</v>
      </c>
      <c r="G172" s="9" t="s">
        <v>19</v>
      </c>
      <c r="H172" s="10">
        <v>1.1100000000000001</v>
      </c>
    </row>
    <row r="173" spans="2:8" x14ac:dyDescent="0.45">
      <c r="B173" s="11" t="s">
        <v>20</v>
      </c>
      <c r="C173" s="12">
        <v>0.92</v>
      </c>
      <c r="G173" s="11" t="s">
        <v>20</v>
      </c>
      <c r="H173" s="12">
        <v>1.1000000000000001</v>
      </c>
    </row>
    <row r="174" spans="2:8" x14ac:dyDescent="0.45">
      <c r="B174" s="13"/>
      <c r="C174" s="14" t="s">
        <v>11</v>
      </c>
      <c r="G174" s="13"/>
      <c r="H174" s="14" t="s">
        <v>11</v>
      </c>
    </row>
    <row r="175" spans="2:8" x14ac:dyDescent="0.45">
      <c r="B175" s="11"/>
      <c r="C175" s="10">
        <f>_xlfn.STDEV.P(C169:C173)</f>
        <v>2.0591260281973976E-2</v>
      </c>
      <c r="G175" s="11"/>
      <c r="H175" s="10">
        <f>_xlfn.STDEV.P(H169:H173)</f>
        <v>4.89897948556636E-3</v>
      </c>
    </row>
    <row r="176" spans="2:8" x14ac:dyDescent="0.45">
      <c r="B176" s="9"/>
      <c r="C176" s="14" t="s">
        <v>15</v>
      </c>
      <c r="G176" s="9"/>
      <c r="H176" s="14" t="s">
        <v>15</v>
      </c>
    </row>
    <row r="177" spans="2:8" x14ac:dyDescent="0.45">
      <c r="B177" s="9"/>
      <c r="C177" s="16">
        <f>AVERAGE(C169:C173)</f>
        <v>0.94400000000000017</v>
      </c>
      <c r="G177" s="9"/>
      <c r="H177" s="16">
        <f>AVERAGE(H169:H173)</f>
        <v>1.1039999999999999</v>
      </c>
    </row>
    <row r="178" spans="2:8" ht="15.4" thickBot="1" x14ac:dyDescent="0.5">
      <c r="B178" s="15"/>
      <c r="C178" s="17"/>
      <c r="G178" s="15"/>
      <c r="H178" s="17"/>
    </row>
    <row r="179" spans="2:8" x14ac:dyDescent="0.45">
      <c r="B179" s="7">
        <v>17</v>
      </c>
      <c r="C179" s="8" t="s">
        <v>10</v>
      </c>
      <c r="G179" s="7">
        <v>17</v>
      </c>
      <c r="H179" s="8" t="s">
        <v>10</v>
      </c>
    </row>
    <row r="180" spans="2:8" x14ac:dyDescent="0.45">
      <c r="B180" s="9" t="s">
        <v>16</v>
      </c>
      <c r="C180" s="10">
        <v>0.96</v>
      </c>
      <c r="G180" s="9" t="s">
        <v>16</v>
      </c>
      <c r="H180" s="10">
        <v>1.06</v>
      </c>
    </row>
    <row r="181" spans="2:8" x14ac:dyDescent="0.45">
      <c r="B181" s="9" t="s">
        <v>17</v>
      </c>
      <c r="C181" s="10">
        <v>0.99</v>
      </c>
      <c r="G181" s="9" t="s">
        <v>17</v>
      </c>
      <c r="H181" s="10">
        <v>1.0900000000000001</v>
      </c>
    </row>
    <row r="182" spans="2:8" x14ac:dyDescent="0.45">
      <c r="B182" s="9" t="s">
        <v>18</v>
      </c>
      <c r="C182" s="10">
        <v>0.96</v>
      </c>
      <c r="G182" s="9" t="s">
        <v>18</v>
      </c>
      <c r="H182" s="10">
        <v>1.0900000000000001</v>
      </c>
    </row>
    <row r="183" spans="2:8" x14ac:dyDescent="0.45">
      <c r="B183" s="9" t="s">
        <v>19</v>
      </c>
      <c r="C183" s="10">
        <v>0.98</v>
      </c>
      <c r="G183" s="9" t="s">
        <v>19</v>
      </c>
      <c r="H183" s="10">
        <v>1.07</v>
      </c>
    </row>
    <row r="184" spans="2:8" x14ac:dyDescent="0.45">
      <c r="B184" s="11" t="s">
        <v>20</v>
      </c>
      <c r="C184" s="12">
        <v>0.97</v>
      </c>
      <c r="G184" s="11" t="s">
        <v>20</v>
      </c>
      <c r="H184" s="12">
        <v>1.1000000000000001</v>
      </c>
    </row>
    <row r="185" spans="2:8" x14ac:dyDescent="0.45">
      <c r="B185" s="13"/>
      <c r="C185" s="14" t="s">
        <v>11</v>
      </c>
      <c r="G185" s="13"/>
      <c r="H185" s="14" t="s">
        <v>11</v>
      </c>
    </row>
    <row r="186" spans="2:8" x14ac:dyDescent="0.45">
      <c r="B186" s="11"/>
      <c r="C186" s="10">
        <f>_xlfn.STDEV.P(C180:C184)</f>
        <v>1.1661903789690611E-2</v>
      </c>
      <c r="G186" s="11"/>
      <c r="H186" s="10">
        <f>_xlfn.STDEV.P(H180:H184)</f>
        <v>1.4696938456699083E-2</v>
      </c>
    </row>
    <row r="187" spans="2:8" x14ac:dyDescent="0.45">
      <c r="B187" s="9"/>
      <c r="C187" s="14" t="s">
        <v>15</v>
      </c>
      <c r="G187" s="9"/>
      <c r="H187" s="14" t="s">
        <v>15</v>
      </c>
    </row>
    <row r="188" spans="2:8" x14ac:dyDescent="0.45">
      <c r="B188" s="9"/>
      <c r="C188" s="16">
        <f>AVERAGE(C180:C184)</f>
        <v>0.97200000000000009</v>
      </c>
      <c r="G188" s="9"/>
      <c r="H188" s="16">
        <f>AVERAGE(H180:H184)</f>
        <v>1.0820000000000001</v>
      </c>
    </row>
    <row r="189" spans="2:8" ht="15.4" thickBot="1" x14ac:dyDescent="0.5">
      <c r="B189" s="15"/>
      <c r="C189" s="17"/>
      <c r="G189" s="15"/>
      <c r="H189" s="17"/>
    </row>
    <row r="190" spans="2:8" x14ac:dyDescent="0.45">
      <c r="B190" s="7">
        <v>18</v>
      </c>
      <c r="C190" s="8" t="s">
        <v>10</v>
      </c>
      <c r="G190" s="7">
        <v>18</v>
      </c>
      <c r="H190" s="8" t="s">
        <v>10</v>
      </c>
    </row>
    <row r="191" spans="2:8" x14ac:dyDescent="0.45">
      <c r="B191" s="9" t="s">
        <v>16</v>
      </c>
      <c r="C191" s="10">
        <v>0.91</v>
      </c>
      <c r="G191" s="9" t="s">
        <v>16</v>
      </c>
      <c r="H191" s="10">
        <v>1.21</v>
      </c>
    </row>
    <row r="192" spans="2:8" x14ac:dyDescent="0.45">
      <c r="B192" s="9" t="s">
        <v>17</v>
      </c>
      <c r="C192" s="10">
        <v>0.9</v>
      </c>
      <c r="G192" s="9" t="s">
        <v>17</v>
      </c>
      <c r="H192" s="10">
        <v>1.18</v>
      </c>
    </row>
    <row r="193" spans="2:8" x14ac:dyDescent="0.45">
      <c r="B193" s="9" t="s">
        <v>18</v>
      </c>
      <c r="C193" s="10">
        <v>0.94</v>
      </c>
      <c r="G193" s="9" t="s">
        <v>18</v>
      </c>
      <c r="H193" s="10">
        <v>1.2</v>
      </c>
    </row>
    <row r="194" spans="2:8" x14ac:dyDescent="0.45">
      <c r="B194" s="9" t="s">
        <v>19</v>
      </c>
      <c r="C194" s="10">
        <v>0.98</v>
      </c>
      <c r="G194" s="9" t="s">
        <v>19</v>
      </c>
      <c r="H194" s="10">
        <v>1.19</v>
      </c>
    </row>
    <row r="195" spans="2:8" x14ac:dyDescent="0.45">
      <c r="B195" s="11" t="s">
        <v>20</v>
      </c>
      <c r="C195" s="12">
        <v>0.91</v>
      </c>
      <c r="G195" s="11" t="s">
        <v>20</v>
      </c>
      <c r="H195" s="12">
        <v>1.18</v>
      </c>
    </row>
    <row r="196" spans="2:8" x14ac:dyDescent="0.45">
      <c r="B196" s="13"/>
      <c r="C196" s="14" t="s">
        <v>11</v>
      </c>
      <c r="G196" s="13"/>
      <c r="H196" s="14" t="s">
        <v>11</v>
      </c>
    </row>
    <row r="197" spans="2:8" x14ac:dyDescent="0.45">
      <c r="B197" s="11"/>
      <c r="C197" s="10">
        <f>_xlfn.STDEV.P(C191:C195)</f>
        <v>2.9257477676655565E-2</v>
      </c>
      <c r="G197" s="11"/>
      <c r="H197" s="10">
        <f>_xlfn.STDEV.P(H191:H195)</f>
        <v>1.1661903789690611E-2</v>
      </c>
    </row>
    <row r="198" spans="2:8" x14ac:dyDescent="0.45">
      <c r="B198" s="9"/>
      <c r="C198" s="14" t="s">
        <v>15</v>
      </c>
      <c r="G198" s="9"/>
      <c r="H198" s="14" t="s">
        <v>15</v>
      </c>
    </row>
    <row r="199" spans="2:8" x14ac:dyDescent="0.45">
      <c r="B199" s="9"/>
      <c r="C199" s="16">
        <f>AVERAGE(C191:C195)</f>
        <v>0.92799999999999994</v>
      </c>
      <c r="G199" s="9"/>
      <c r="H199" s="16">
        <f>AVERAGE(H191:H195)</f>
        <v>1.1919999999999997</v>
      </c>
    </row>
    <row r="200" spans="2:8" ht="15.4" thickBot="1" x14ac:dyDescent="0.5">
      <c r="B200" s="15"/>
      <c r="C200" s="17"/>
      <c r="G200" s="15"/>
      <c r="H200" s="17"/>
    </row>
    <row r="201" spans="2:8" x14ac:dyDescent="0.45">
      <c r="B201" s="7">
        <v>19</v>
      </c>
      <c r="C201" s="8" t="s">
        <v>10</v>
      </c>
      <c r="G201" s="7">
        <v>19</v>
      </c>
      <c r="H201" s="8" t="s">
        <v>10</v>
      </c>
    </row>
    <row r="202" spans="2:8" x14ac:dyDescent="0.45">
      <c r="B202" s="9" t="s">
        <v>16</v>
      </c>
      <c r="C202" s="10">
        <v>0.98</v>
      </c>
      <c r="G202" s="9" t="s">
        <v>16</v>
      </c>
      <c r="H202" s="10">
        <v>1.18</v>
      </c>
    </row>
    <row r="203" spans="2:8" x14ac:dyDescent="0.45">
      <c r="B203" s="9" t="s">
        <v>17</v>
      </c>
      <c r="C203" s="10">
        <v>1.03</v>
      </c>
      <c r="G203" s="9" t="s">
        <v>17</v>
      </c>
      <c r="H203" s="10">
        <v>1.21</v>
      </c>
    </row>
    <row r="204" spans="2:8" x14ac:dyDescent="0.45">
      <c r="B204" s="9" t="s">
        <v>18</v>
      </c>
      <c r="C204" s="10">
        <v>1.01</v>
      </c>
      <c r="G204" s="9" t="s">
        <v>18</v>
      </c>
      <c r="H204" s="10">
        <v>1.19</v>
      </c>
    </row>
    <row r="205" spans="2:8" x14ac:dyDescent="0.45">
      <c r="B205" s="9" t="s">
        <v>19</v>
      </c>
      <c r="C205" s="10">
        <v>1</v>
      </c>
      <c r="G205" s="9" t="s">
        <v>19</v>
      </c>
      <c r="H205" s="10">
        <v>1.2</v>
      </c>
    </row>
    <row r="206" spans="2:8" x14ac:dyDescent="0.45">
      <c r="B206" s="11" t="s">
        <v>20</v>
      </c>
      <c r="C206" s="12">
        <v>0.99</v>
      </c>
      <c r="G206" s="11" t="s">
        <v>20</v>
      </c>
      <c r="H206" s="12">
        <v>1.18</v>
      </c>
    </row>
    <row r="207" spans="2:8" x14ac:dyDescent="0.45">
      <c r="B207" s="13"/>
      <c r="C207" s="14" t="s">
        <v>11</v>
      </c>
      <c r="G207" s="13"/>
      <c r="H207" s="14" t="s">
        <v>11</v>
      </c>
    </row>
    <row r="208" spans="2:8" x14ac:dyDescent="0.45">
      <c r="B208" s="11"/>
      <c r="C208" s="10">
        <f>_xlfn.STDEV.P(C202:C206)</f>
        <v>1.7204650534085267E-2</v>
      </c>
      <c r="G208" s="11"/>
      <c r="H208" s="10">
        <f>_xlfn.STDEV.P(H202:H206)</f>
        <v>1.1661903789690611E-2</v>
      </c>
    </row>
    <row r="209" spans="2:8" x14ac:dyDescent="0.45">
      <c r="B209" s="9"/>
      <c r="C209" s="14" t="s">
        <v>15</v>
      </c>
      <c r="G209" s="9"/>
      <c r="H209" s="14" t="s">
        <v>15</v>
      </c>
    </row>
    <row r="210" spans="2:8" x14ac:dyDescent="0.45">
      <c r="B210" s="9"/>
      <c r="C210" s="16">
        <f>AVERAGE(C202:C206)</f>
        <v>1.002</v>
      </c>
      <c r="G210" s="9"/>
      <c r="H210" s="16">
        <f>AVERAGE(H202:H206)</f>
        <v>1.1919999999999997</v>
      </c>
    </row>
    <row r="211" spans="2:8" ht="15.4" thickBot="1" x14ac:dyDescent="0.5">
      <c r="B211" s="15"/>
      <c r="C211" s="17"/>
      <c r="G211" s="15"/>
      <c r="H211" s="17"/>
    </row>
    <row r="212" spans="2:8" x14ac:dyDescent="0.45">
      <c r="B212" s="7">
        <v>20</v>
      </c>
      <c r="C212" s="8" t="s">
        <v>10</v>
      </c>
      <c r="G212" s="7">
        <v>20</v>
      </c>
      <c r="H212" s="8" t="s">
        <v>10</v>
      </c>
    </row>
    <row r="213" spans="2:8" x14ac:dyDescent="0.45">
      <c r="B213" s="9" t="s">
        <v>16</v>
      </c>
      <c r="C213" s="10">
        <v>1.03</v>
      </c>
      <c r="G213" s="9" t="s">
        <v>16</v>
      </c>
      <c r="H213" s="10">
        <v>1.27</v>
      </c>
    </row>
    <row r="214" spans="2:8" x14ac:dyDescent="0.45">
      <c r="B214" s="9" t="s">
        <v>17</v>
      </c>
      <c r="C214" s="10">
        <v>1.04</v>
      </c>
      <c r="G214" s="9" t="s">
        <v>17</v>
      </c>
      <c r="H214" s="10">
        <v>1.25</v>
      </c>
    </row>
    <row r="215" spans="2:8" x14ac:dyDescent="0.45">
      <c r="B215" s="9" t="s">
        <v>18</v>
      </c>
      <c r="C215" s="10">
        <v>1.03</v>
      </c>
      <c r="G215" s="9" t="s">
        <v>18</v>
      </c>
      <c r="H215" s="10">
        <v>1.24</v>
      </c>
    </row>
    <row r="216" spans="2:8" x14ac:dyDescent="0.45">
      <c r="B216" s="9" t="s">
        <v>19</v>
      </c>
      <c r="C216" s="10">
        <v>1.06</v>
      </c>
      <c r="G216" s="9" t="s">
        <v>19</v>
      </c>
      <c r="H216" s="10">
        <v>1.26</v>
      </c>
    </row>
    <row r="217" spans="2:8" x14ac:dyDescent="0.45">
      <c r="B217" s="11" t="s">
        <v>20</v>
      </c>
      <c r="C217" s="12">
        <v>1.05</v>
      </c>
      <c r="G217" s="11" t="s">
        <v>20</v>
      </c>
      <c r="H217" s="12">
        <v>1.28</v>
      </c>
    </row>
    <row r="218" spans="2:8" x14ac:dyDescent="0.45">
      <c r="B218" s="13"/>
      <c r="C218" s="14" t="s">
        <v>11</v>
      </c>
      <c r="G218" s="13"/>
      <c r="H218" s="14" t="s">
        <v>11</v>
      </c>
    </row>
    <row r="219" spans="2:8" x14ac:dyDescent="0.45">
      <c r="B219" s="11"/>
      <c r="C219" s="10">
        <f>_xlfn.STDEV.P(C213:C217)</f>
        <v>1.1661903789690611E-2</v>
      </c>
      <c r="G219" s="11"/>
      <c r="H219" s="10">
        <f>_xlfn.STDEV.P(H213:H217)</f>
        <v>1.4142135623730963E-2</v>
      </c>
    </row>
    <row r="220" spans="2:8" x14ac:dyDescent="0.45">
      <c r="B220" s="9"/>
      <c r="C220" s="14" t="s">
        <v>15</v>
      </c>
      <c r="G220" s="9"/>
      <c r="H220" s="14" t="s">
        <v>15</v>
      </c>
    </row>
    <row r="221" spans="2:8" x14ac:dyDescent="0.45">
      <c r="B221" s="9"/>
      <c r="C221" s="16">
        <f>AVERAGE(C213:C217)</f>
        <v>1.042</v>
      </c>
      <c r="G221" s="9"/>
      <c r="H221" s="16">
        <f>AVERAGE(H213:H217)</f>
        <v>1.26</v>
      </c>
    </row>
    <row r="222" spans="2:8" ht="15.4" thickBot="1" x14ac:dyDescent="0.5">
      <c r="B222" s="15"/>
      <c r="C222" s="17"/>
      <c r="G222" s="15"/>
      <c r="H222" s="17"/>
    </row>
    <row r="223" spans="2:8" x14ac:dyDescent="0.45">
      <c r="G223" s="7">
        <v>21</v>
      </c>
      <c r="H223" s="8" t="s">
        <v>10</v>
      </c>
    </row>
    <row r="224" spans="2:8" x14ac:dyDescent="0.45">
      <c r="G224" s="9" t="s">
        <v>16</v>
      </c>
      <c r="H224" s="10">
        <v>1.25</v>
      </c>
    </row>
    <row r="225" spans="7:8" x14ac:dyDescent="0.45">
      <c r="G225" s="9" t="s">
        <v>17</v>
      </c>
      <c r="H225" s="10">
        <v>1.25</v>
      </c>
    </row>
    <row r="226" spans="7:8" x14ac:dyDescent="0.45">
      <c r="G226" s="9" t="s">
        <v>18</v>
      </c>
      <c r="H226" s="10">
        <v>1.21</v>
      </c>
    </row>
    <row r="227" spans="7:8" x14ac:dyDescent="0.45">
      <c r="G227" s="9" t="s">
        <v>19</v>
      </c>
      <c r="H227" s="10">
        <v>1.23</v>
      </c>
    </row>
    <row r="228" spans="7:8" x14ac:dyDescent="0.45">
      <c r="G228" s="11" t="s">
        <v>20</v>
      </c>
      <c r="H228" s="12">
        <v>1.23</v>
      </c>
    </row>
    <row r="229" spans="7:8" x14ac:dyDescent="0.45">
      <c r="G229" s="13"/>
      <c r="H229" s="14" t="s">
        <v>11</v>
      </c>
    </row>
    <row r="230" spans="7:8" x14ac:dyDescent="0.45">
      <c r="G230" s="11"/>
      <c r="H230" s="10">
        <f>_xlfn.STDEV.P(H224:H228)</f>
        <v>1.4966629547095779E-2</v>
      </c>
    </row>
    <row r="231" spans="7:8" x14ac:dyDescent="0.45">
      <c r="G231" s="9"/>
      <c r="H231" s="14" t="s">
        <v>15</v>
      </c>
    </row>
    <row r="232" spans="7:8" x14ac:dyDescent="0.45">
      <c r="G232" s="9"/>
      <c r="H232" s="16">
        <f>AVERAGE(H224:H228)</f>
        <v>1.234</v>
      </c>
    </row>
    <row r="233" spans="7:8" ht="15.4" thickBot="1" x14ac:dyDescent="0.5">
      <c r="G233" s="15"/>
      <c r="H233" s="17"/>
    </row>
    <row r="234" spans="7:8" x14ac:dyDescent="0.45">
      <c r="G234" s="7">
        <v>22</v>
      </c>
      <c r="H234" s="8" t="s">
        <v>10</v>
      </c>
    </row>
    <row r="235" spans="7:8" x14ac:dyDescent="0.45">
      <c r="G235" s="9" t="s">
        <v>16</v>
      </c>
      <c r="H235" s="10">
        <v>1.26</v>
      </c>
    </row>
    <row r="236" spans="7:8" x14ac:dyDescent="0.45">
      <c r="G236" s="9" t="s">
        <v>17</v>
      </c>
      <c r="H236" s="10">
        <v>1.25</v>
      </c>
    </row>
    <row r="237" spans="7:8" x14ac:dyDescent="0.45">
      <c r="G237" s="9" t="s">
        <v>18</v>
      </c>
      <c r="H237" s="10">
        <v>1.25</v>
      </c>
    </row>
    <row r="238" spans="7:8" x14ac:dyDescent="0.45">
      <c r="G238" s="9" t="s">
        <v>19</v>
      </c>
      <c r="H238" s="10">
        <v>1.25</v>
      </c>
    </row>
    <row r="239" spans="7:8" x14ac:dyDescent="0.45">
      <c r="G239" s="11" t="s">
        <v>20</v>
      </c>
      <c r="H239" s="12">
        <v>1.25</v>
      </c>
    </row>
    <row r="240" spans="7:8" x14ac:dyDescent="0.45">
      <c r="G240" s="13"/>
      <c r="H240" s="14" t="s">
        <v>11</v>
      </c>
    </row>
    <row r="241" spans="7:8" x14ac:dyDescent="0.45">
      <c r="G241" s="11"/>
      <c r="H241" s="10">
        <f>_xlfn.STDEV.P(H235:H239)</f>
        <v>4.0000000000000036E-3</v>
      </c>
    </row>
    <row r="242" spans="7:8" x14ac:dyDescent="0.45">
      <c r="G242" s="9"/>
      <c r="H242" s="14" t="s">
        <v>15</v>
      </c>
    </row>
    <row r="243" spans="7:8" x14ac:dyDescent="0.45">
      <c r="G243" s="9"/>
      <c r="H243" s="16">
        <f>AVERAGE(H235:H239)</f>
        <v>1.252</v>
      </c>
    </row>
    <row r="244" spans="7:8" ht="15.4" thickBot="1" x14ac:dyDescent="0.5">
      <c r="G244" s="15"/>
      <c r="H244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2026-08-01T09:08:46Z</dcterms:modified>
</cp:coreProperties>
</file>