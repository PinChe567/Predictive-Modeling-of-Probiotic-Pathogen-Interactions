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experiment data\"/>
    </mc:Choice>
  </mc:AlternateContent>
  <xr:revisionPtr revIDLastSave="0" documentId="13_ncr:1_{E418D6F9-3EEE-425C-9F82-449C6E3CFFBD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raw 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8" i="3" l="1"/>
  <c r="E167" i="3"/>
  <c r="E156" i="3"/>
  <c r="E145" i="3"/>
  <c r="E134" i="3"/>
  <c r="E123" i="3"/>
  <c r="E112" i="3"/>
  <c r="E101" i="3"/>
  <c r="E90" i="3"/>
  <c r="E79" i="3"/>
  <c r="E68" i="3"/>
  <c r="E57" i="3"/>
  <c r="E46" i="3"/>
  <c r="E35" i="3"/>
  <c r="E24" i="3"/>
  <c r="E13" i="3"/>
  <c r="E177" i="3"/>
  <c r="C177" i="3"/>
  <c r="E176" i="3"/>
  <c r="F173" i="3"/>
  <c r="D173" i="3"/>
  <c r="F172" i="3"/>
  <c r="D172" i="3"/>
  <c r="F171" i="3"/>
  <c r="D171" i="3"/>
  <c r="F170" i="3"/>
  <c r="D170" i="3"/>
  <c r="F169" i="3"/>
  <c r="D169" i="3"/>
  <c r="C176" i="3" s="1"/>
  <c r="E166" i="3"/>
  <c r="F162" i="3"/>
  <c r="D162" i="3"/>
  <c r="F161" i="3"/>
  <c r="D161" i="3"/>
  <c r="F160" i="3"/>
  <c r="D160" i="3"/>
  <c r="F159" i="3"/>
  <c r="D159" i="3"/>
  <c r="F158" i="3"/>
  <c r="D158" i="3"/>
  <c r="C166" i="3" s="1"/>
  <c r="F151" i="3"/>
  <c r="D151" i="3"/>
  <c r="F150" i="3"/>
  <c r="D150" i="3"/>
  <c r="F149" i="3"/>
  <c r="D149" i="3"/>
  <c r="F148" i="3"/>
  <c r="D148" i="3"/>
  <c r="F147" i="3"/>
  <c r="D147" i="3"/>
  <c r="C155" i="3" s="1"/>
  <c r="F140" i="3"/>
  <c r="D140" i="3"/>
  <c r="F139" i="3"/>
  <c r="D139" i="3"/>
  <c r="F138" i="3"/>
  <c r="D138" i="3"/>
  <c r="F137" i="3"/>
  <c r="D137" i="3"/>
  <c r="F136" i="3"/>
  <c r="D136" i="3"/>
  <c r="C144" i="3" s="1"/>
  <c r="F129" i="3"/>
  <c r="D129" i="3"/>
  <c r="F128" i="3"/>
  <c r="D128" i="3"/>
  <c r="F127" i="3"/>
  <c r="D127" i="3"/>
  <c r="F126" i="3"/>
  <c r="D126" i="3"/>
  <c r="F125" i="3"/>
  <c r="D125" i="3"/>
  <c r="C133" i="3" s="1"/>
  <c r="E121" i="3"/>
  <c r="E122" i="3" s="1"/>
  <c r="F118" i="3"/>
  <c r="D118" i="3"/>
  <c r="F117" i="3"/>
  <c r="D117" i="3"/>
  <c r="F116" i="3"/>
  <c r="D116" i="3"/>
  <c r="F115" i="3"/>
  <c r="D115" i="3"/>
  <c r="F114" i="3"/>
  <c r="D114" i="3"/>
  <c r="C122" i="3" s="1"/>
  <c r="E111" i="3"/>
  <c r="F107" i="3"/>
  <c r="D107" i="3"/>
  <c r="F106" i="3"/>
  <c r="D106" i="3"/>
  <c r="F105" i="3"/>
  <c r="D105" i="3"/>
  <c r="F104" i="3"/>
  <c r="D104" i="3"/>
  <c r="F103" i="3"/>
  <c r="C110" i="3" s="1"/>
  <c r="D103" i="3"/>
  <c r="C111" i="3" s="1"/>
  <c r="F96" i="3"/>
  <c r="D96" i="3"/>
  <c r="F95" i="3"/>
  <c r="D95" i="3"/>
  <c r="F94" i="3"/>
  <c r="D94" i="3"/>
  <c r="F93" i="3"/>
  <c r="D93" i="3"/>
  <c r="C100" i="3" s="1"/>
  <c r="F92" i="3"/>
  <c r="C99" i="3" s="1"/>
  <c r="D92" i="3"/>
  <c r="F85" i="3"/>
  <c r="D85" i="3"/>
  <c r="F84" i="3"/>
  <c r="D84" i="3"/>
  <c r="F83" i="3"/>
  <c r="D83" i="3"/>
  <c r="F82" i="3"/>
  <c r="D82" i="3"/>
  <c r="C89" i="3" s="1"/>
  <c r="F81" i="3"/>
  <c r="C88" i="3" s="1"/>
  <c r="D81" i="3"/>
  <c r="F74" i="3"/>
  <c r="D74" i="3"/>
  <c r="F73" i="3"/>
  <c r="D73" i="3"/>
  <c r="F72" i="3"/>
  <c r="D72" i="3"/>
  <c r="F71" i="3"/>
  <c r="D71" i="3"/>
  <c r="C78" i="3" s="1"/>
  <c r="F70" i="3"/>
  <c r="C77" i="3" s="1"/>
  <c r="D70" i="3"/>
  <c r="F63" i="3"/>
  <c r="D63" i="3"/>
  <c r="F62" i="3"/>
  <c r="D62" i="3"/>
  <c r="F61" i="3"/>
  <c r="D61" i="3"/>
  <c r="F60" i="3"/>
  <c r="D60" i="3"/>
  <c r="C67" i="3" s="1"/>
  <c r="F59" i="3"/>
  <c r="C66" i="3" s="1"/>
  <c r="D59" i="3"/>
  <c r="F52" i="3"/>
  <c r="D52" i="3"/>
  <c r="F51" i="3"/>
  <c r="D51" i="3"/>
  <c r="F50" i="3"/>
  <c r="D50" i="3"/>
  <c r="F49" i="3"/>
  <c r="D49" i="3"/>
  <c r="C56" i="3" s="1"/>
  <c r="F48" i="3"/>
  <c r="C55" i="3" s="1"/>
  <c r="D48" i="3"/>
  <c r="C44" i="3"/>
  <c r="F41" i="3"/>
  <c r="D41" i="3"/>
  <c r="F40" i="3"/>
  <c r="D40" i="3"/>
  <c r="F39" i="3"/>
  <c r="D39" i="3"/>
  <c r="F38" i="3"/>
  <c r="D38" i="3"/>
  <c r="C45" i="3" s="1"/>
  <c r="F37" i="3"/>
  <c r="D37" i="3"/>
  <c r="C33" i="3"/>
  <c r="F30" i="3"/>
  <c r="D30" i="3"/>
  <c r="F29" i="3"/>
  <c r="D29" i="3"/>
  <c r="F28" i="3"/>
  <c r="D28" i="3"/>
  <c r="F27" i="3"/>
  <c r="D27" i="3"/>
  <c r="C34" i="3" s="1"/>
  <c r="F26" i="3"/>
  <c r="D26" i="3"/>
  <c r="E22" i="3"/>
  <c r="E23" i="3" s="1"/>
  <c r="C22" i="3"/>
  <c r="F19" i="3"/>
  <c r="D19" i="3"/>
  <c r="F18" i="3"/>
  <c r="D18" i="3"/>
  <c r="F17" i="3"/>
  <c r="D17" i="3"/>
  <c r="F16" i="3"/>
  <c r="D16" i="3"/>
  <c r="C23" i="3" s="1"/>
  <c r="F15" i="3"/>
  <c r="D15" i="3"/>
  <c r="C12" i="3"/>
  <c r="F8" i="3"/>
  <c r="D8" i="3"/>
  <c r="F7" i="3"/>
  <c r="D7" i="3"/>
  <c r="F6" i="3"/>
  <c r="D6" i="3"/>
  <c r="F5" i="3"/>
  <c r="D5" i="3"/>
  <c r="F4" i="3"/>
  <c r="D4" i="3"/>
  <c r="C11" i="3" s="1"/>
  <c r="C24" i="3" l="1"/>
  <c r="C121" i="3"/>
  <c r="C132" i="3"/>
  <c r="C143" i="3"/>
  <c r="C154" i="3"/>
  <c r="C165" i="3"/>
  <c r="E132" i="3"/>
  <c r="E33" i="3"/>
  <c r="E34" i="3" l="1"/>
  <c r="E44" i="3"/>
  <c r="E133" i="3"/>
  <c r="E143" i="3"/>
  <c r="C35" i="3"/>
  <c r="E144" i="3" l="1"/>
  <c r="E154" i="3"/>
  <c r="E155" i="3" s="1"/>
  <c r="E45" i="3"/>
  <c r="E55" i="3"/>
  <c r="C46" i="3"/>
  <c r="C57" i="3" l="1"/>
  <c r="E56" i="3"/>
  <c r="E66" i="3"/>
  <c r="E67" i="3" l="1"/>
  <c r="E77" i="3"/>
  <c r="C68" i="3"/>
  <c r="C79" i="3" l="1"/>
  <c r="E78" i="3"/>
  <c r="E88" i="3"/>
  <c r="E89" i="3" l="1"/>
  <c r="E99" i="3"/>
  <c r="E100" i="3" s="1"/>
  <c r="C90" i="3"/>
  <c r="C101" i="3" l="1"/>
  <c r="C112" i="3" l="1"/>
  <c r="C123" i="3" l="1"/>
  <c r="C134" i="3" l="1"/>
  <c r="C145" i="3" l="1"/>
  <c r="C156" i="3" l="1"/>
  <c r="C167" i="3" l="1"/>
  <c r="C178" i="3" l="1"/>
</calcChain>
</file>

<file path=xl/sharedStrings.xml><?xml version="1.0" encoding="utf-8"?>
<sst xmlns="http://schemas.openxmlformats.org/spreadsheetml/2006/main" count="313" uniqueCount="52">
  <si>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</si>
  <si>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2024/9/3-2024/9/16</t>
    <phoneticPr fontId="1" type="noConversion"/>
  </si>
  <si>
    <t>L. lactis growth curve CFU</t>
    <phoneticPr fontId="1" type="noConversion"/>
  </si>
  <si>
    <t>time (hr)</t>
    <phoneticPr fontId="1" type="noConversion"/>
  </si>
  <si>
    <t>CFU/mL</t>
    <phoneticPr fontId="1" type="noConversion"/>
  </si>
  <si>
    <t>SD</t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</si>
  <si>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0.57, dilute 100x)</t>
    </r>
    <phoneticPr fontId="1" type="noConversion"/>
  </si>
  <si>
    <t>loading Vol. (λ)</t>
  </si>
  <si>
    <t>Vol. (mL)</t>
  </si>
  <si>
    <t>Time (hr)</t>
  </si>
  <si>
    <t>Exp. Time</t>
  </si>
  <si>
    <t>total CFU</t>
  </si>
  <si>
    <t>test 1</t>
  </si>
  <si>
    <t>test 2</t>
  </si>
  <si>
    <t>test 3</t>
  </si>
  <si>
    <t>test 4</t>
  </si>
  <si>
    <t>test 5</t>
  </si>
  <si>
    <t>CFU/mL</t>
  </si>
  <si>
    <t>SD (CFU)</t>
    <phoneticPr fontId="1" type="noConversion"/>
  </si>
  <si>
    <t>21 no</t>
    <phoneticPr fontId="1" type="noConversion"/>
  </si>
  <si>
    <t>19 no</t>
    <phoneticPr fontId="1" type="noConversion"/>
  </si>
  <si>
    <t>139 no</t>
    <phoneticPr fontId="1" type="noConversion"/>
  </si>
  <si>
    <t>63 no</t>
    <phoneticPr fontId="1" type="noConversion"/>
  </si>
  <si>
    <t>425 no</t>
    <phoneticPr fontId="1" type="noConversion"/>
  </si>
  <si>
    <t>67 no</t>
    <phoneticPr fontId="1" type="noConversion"/>
  </si>
  <si>
    <t>403 no</t>
    <phoneticPr fontId="1" type="noConversion"/>
  </si>
  <si>
    <t>72 no</t>
    <phoneticPr fontId="1" type="noConversion"/>
  </si>
  <si>
    <t>65 no</t>
    <phoneticPr fontId="1" type="noConversion"/>
  </si>
  <si>
    <t>172 no</t>
    <phoneticPr fontId="1" type="noConversion"/>
  </si>
  <si>
    <t>103 no</t>
    <phoneticPr fontId="1" type="noConversion"/>
  </si>
  <si>
    <t>22 no</t>
    <phoneticPr fontId="1" type="noConversion"/>
  </si>
  <si>
    <t>133 no</t>
    <phoneticPr fontId="1" type="noConversion"/>
  </si>
  <si>
    <t>12 no</t>
    <phoneticPr fontId="1" type="noConversion"/>
  </si>
  <si>
    <t>115 no</t>
    <phoneticPr fontId="1" type="noConversion"/>
  </si>
  <si>
    <t>105 no</t>
    <phoneticPr fontId="1" type="noConversion"/>
  </si>
  <si>
    <t>17 no</t>
    <phoneticPr fontId="1" type="noConversion"/>
  </si>
  <si>
    <t>255 no</t>
    <phoneticPr fontId="1" type="noConversion"/>
  </si>
  <si>
    <t>29 no</t>
    <phoneticPr fontId="1" type="noConversion"/>
  </si>
  <si>
    <t>11 no</t>
    <phoneticPr fontId="1" type="noConversion"/>
  </si>
  <si>
    <t>128 no</t>
    <phoneticPr fontId="1" type="noConversion"/>
  </si>
  <si>
    <t>13 no</t>
    <phoneticPr fontId="1" type="noConversion"/>
  </si>
  <si>
    <t>10 no</t>
    <phoneticPr fontId="1" type="noConversion"/>
  </si>
  <si>
    <t>94 no</t>
    <phoneticPr fontId="1" type="noConversion"/>
  </si>
  <si>
    <t>9 no</t>
    <phoneticPr fontId="1" type="noConversion"/>
  </si>
  <si>
    <t>180 no</t>
    <phoneticPr fontId="1" type="noConversion"/>
  </si>
  <si>
    <t>25 no</t>
    <phoneticPr fontId="1" type="noConversion"/>
  </si>
  <si>
    <t>24 no</t>
    <phoneticPr fontId="1" type="noConversion"/>
  </si>
  <si>
    <t>27 no</t>
    <phoneticPr fontId="1" type="noConversion"/>
  </si>
  <si>
    <t>1 no</t>
    <phoneticPr fontId="1" type="noConversion"/>
  </si>
  <si>
    <t>CFU</t>
  </si>
  <si>
    <t>Dilute (10^n)</t>
  </si>
  <si>
    <t>meanCFU/mL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</si>
</sst>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5" fillId="0" borderId="2" xfId="0" applyFont="1" applyFill="1" applyBorder="1"/>
    <xf numFmtId="0" fontId="5" fillId="0" borderId="3" xfId="0" applyFont="1" applyFill="1" applyBorder="1"/>
    <xf numFmtId="0" fontId="5" fillId="0" borderId="7" xfId="0" applyFont="1" applyFill="1" applyBorder="1"/>
    <xf numFmtId="0" fontId="5" fillId="0" borderId="4" xfId="0" applyFont="1" applyFill="1" applyBorder="1"/>
    <xf numFmtId="0" fontId="5" fillId="0" borderId="0" xfId="0" applyFont="1" applyFill="1"/>
    <xf numFmtId="0" fontId="5" fillId="0" borderId="6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10" xfId="0" applyFont="1" applyFill="1" applyBorder="1"/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20" fontId="5" fillId="0" borderId="0" xfId="0" applyNumberFormat="1" applyFont="1" applyFill="1" applyAlignment="1">
      <alignment horizontal="left"/>
    </xf>
    <xf numFmtId="0" fontId="5" fillId="0" borderId="6" xfId="0" applyFont="1" applyFill="1" applyBorder="1" applyAlignment="1">
      <alignment horizontal="left"/>
    </xf>
    <xf numFmtId="0" fontId="5" fillId="0" borderId="5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5" fillId="0" borderId="14" xfId="0" applyFont="1" applyFill="1" applyBorder="1" applyAlignment="1">
      <alignment horizontal="left"/>
    </xf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6" fillId="0" borderId="1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7"/>
  <sheetViews>
    <sheetView workbookViewId="0">
      <selection activeCell="G27" sqref="G27"/>
    </sheetView>
  </sheetViews>
  <sheetFormatPr defaultRowHeight="13.9" x14ac:dyDescent="0.4"/>
  <cols>
    <col min="1" max="1" width="9.140625" style="1"/>
    <col min="2" max="2" width="25.7109375" style="1" bestFit="1" customWidth="1"/>
    <col min="3" max="3" width="9.140625" style="1"/>
    <col min="4" max="6" width="13" style="1" bestFit="1" customWidth="1"/>
    <col min="7" max="7" width="12.85546875" style="1" bestFit="1" customWidth="1"/>
    <col min="8" max="8" width="9.140625" style="1"/>
    <col min="9" max="9" width="11.85546875" style="1" customWidth="1"/>
    <col min="10" max="16384" width="9.140625" style="1"/>
  </cols>
  <sheetData>
    <row r="1" spans="2:9" ht="16.899999999999999" thickBot="1" x14ac:dyDescent="0.45">
      <c r="D1" s="3" t="s">
        <v>6</v>
      </c>
      <c r="E1" s="3"/>
      <c r="F1" s="3"/>
      <c r="G1" s="2" t="s">
        <v>0</v>
      </c>
      <c r="H1" s="4" t="s">
        <v>1</v>
      </c>
      <c r="I1" s="4"/>
    </row>
    <row r="2" spans="2:9" x14ac:dyDescent="0.4">
      <c r="B2" s="1" t="s">
        <v>2</v>
      </c>
      <c r="D2" s="1" t="s">
        <v>3</v>
      </c>
      <c r="E2" s="1" t="s">
        <v>4</v>
      </c>
      <c r="F2" s="1" t="s">
        <v>5</v>
      </c>
    </row>
    <row r="3" spans="2:9" x14ac:dyDescent="0.4">
      <c r="D3" s="1">
        <v>0</v>
      </c>
      <c r="E3" s="1">
        <v>4154000</v>
      </c>
      <c r="F3" s="1">
        <v>524381.54048364446</v>
      </c>
    </row>
    <row r="4" spans="2:9" x14ac:dyDescent="0.4">
      <c r="D4" s="1">
        <v>10</v>
      </c>
      <c r="E4" s="1">
        <v>31500000</v>
      </c>
      <c r="F4" s="1">
        <v>1672323.7326147908</v>
      </c>
    </row>
    <row r="5" spans="2:9" x14ac:dyDescent="0.4">
      <c r="D5" s="1">
        <v>13</v>
      </c>
      <c r="E5" s="1">
        <v>64400000</v>
      </c>
      <c r="F5" s="1">
        <v>6374950.9802036909</v>
      </c>
    </row>
    <row r="6" spans="2:9" x14ac:dyDescent="0.4">
      <c r="D6" s="1">
        <v>16</v>
      </c>
      <c r="E6" s="1">
        <v>105500000</v>
      </c>
      <c r="F6" s="1">
        <v>6689544.0801298264</v>
      </c>
    </row>
    <row r="7" spans="2:9" x14ac:dyDescent="0.4">
      <c r="D7" s="1">
        <v>19</v>
      </c>
      <c r="E7" s="1">
        <v>83933333.333333328</v>
      </c>
      <c r="F7" s="1">
        <v>3497300.5462944005</v>
      </c>
    </row>
    <row r="8" spans="2:9" x14ac:dyDescent="0.4">
      <c r="D8" s="1">
        <v>22</v>
      </c>
      <c r="E8" s="1">
        <v>163000000</v>
      </c>
      <c r="F8" s="1">
        <v>27313000.567495327</v>
      </c>
    </row>
    <row r="9" spans="2:9" x14ac:dyDescent="0.4">
      <c r="D9" s="1">
        <v>25</v>
      </c>
      <c r="E9" s="1">
        <v>288000000</v>
      </c>
      <c r="F9" s="1">
        <v>28456594.627217393</v>
      </c>
    </row>
    <row r="10" spans="2:9" x14ac:dyDescent="0.4">
      <c r="D10" s="1">
        <v>28.333333333333332</v>
      </c>
      <c r="E10" s="1">
        <v>300250000</v>
      </c>
      <c r="F10" s="1">
        <v>39808918.598726086</v>
      </c>
    </row>
    <row r="11" spans="2:9" x14ac:dyDescent="0.4">
      <c r="D11" s="1">
        <v>30.5</v>
      </c>
      <c r="E11" s="1">
        <v>287000000</v>
      </c>
      <c r="F11" s="1">
        <v>21969676.07104544</v>
      </c>
    </row>
    <row r="12" spans="2:9" x14ac:dyDescent="0.4">
      <c r="D12" s="1">
        <v>37</v>
      </c>
      <c r="E12" s="1">
        <v>434600000</v>
      </c>
      <c r="F12" s="1">
        <v>38295691.663684569</v>
      </c>
    </row>
    <row r="13" spans="2:9" x14ac:dyDescent="0.4">
      <c r="D13" s="1">
        <v>40</v>
      </c>
      <c r="E13" s="1">
        <v>329166666.66666663</v>
      </c>
      <c r="F13" s="1">
        <v>27457037.146948118</v>
      </c>
    </row>
    <row r="14" spans="2:9" x14ac:dyDescent="0.4">
      <c r="D14" s="1">
        <v>43</v>
      </c>
      <c r="E14" s="1">
        <v>269083333.33333331</v>
      </c>
      <c r="F14" s="1">
        <v>43950413.978583738</v>
      </c>
    </row>
    <row r="15" spans="2:9" x14ac:dyDescent="0.4">
      <c r="D15" s="1">
        <v>46</v>
      </c>
      <c r="E15" s="1">
        <v>364250000</v>
      </c>
      <c r="F15" s="1">
        <v>75969840.507050335</v>
      </c>
    </row>
    <row r="16" spans="2:9" x14ac:dyDescent="0.4">
      <c r="D16" s="1">
        <v>49</v>
      </c>
      <c r="E16" s="1">
        <v>288000000</v>
      </c>
      <c r="F16" s="1">
        <v>47651512.742689155</v>
      </c>
    </row>
    <row r="17" spans="4:6" x14ac:dyDescent="0.4">
      <c r="D17" s="1">
        <v>73.25</v>
      </c>
      <c r="E17" s="1">
        <v>349400000</v>
      </c>
      <c r="F17" s="1">
        <v>52765140.007395037</v>
      </c>
    </row>
  </sheetData>
  <mergeCells count="2">
    <mergeCell ref="D1:F1"/>
    <mergeCell ref="H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12D3-D480-47E8-8796-A481CD4473A7}">
  <dimension ref="B2:F178"/>
  <sheetViews>
    <sheetView tabSelected="1" workbookViewId="0">
      <selection activeCell="I14" sqref="I14"/>
    </sheetView>
  </sheetViews>
  <sheetFormatPr defaultRowHeight="15" x14ac:dyDescent="0.45"/>
  <cols>
    <col min="1" max="1" width="9.140625" style="5"/>
    <col min="2" max="2" width="14.35546875" style="5" bestFit="1" customWidth="1"/>
    <col min="3" max="3" width="12.28515625" style="5" bestFit="1" customWidth="1"/>
    <col min="4" max="4" width="10.140625" style="5" bestFit="1" customWidth="1"/>
    <col min="5" max="5" width="5.640625" style="5" bestFit="1" customWidth="1"/>
    <col min="6" max="6" width="10.140625" style="5" bestFit="1" customWidth="1"/>
    <col min="7" max="16384" width="9.140625" style="5"/>
  </cols>
  <sheetData>
    <row r="2" spans="2:6" ht="15.4" thickBot="1" x14ac:dyDescent="0.5"/>
    <row r="3" spans="2:6" x14ac:dyDescent="0.45">
      <c r="B3" s="6">
        <v>1</v>
      </c>
      <c r="C3" s="7" t="s">
        <v>49</v>
      </c>
      <c r="D3" s="8" t="s">
        <v>17</v>
      </c>
      <c r="E3" s="7" t="s">
        <v>49</v>
      </c>
      <c r="F3" s="8" t="s">
        <v>17</v>
      </c>
    </row>
    <row r="4" spans="2:6" x14ac:dyDescent="0.45">
      <c r="B4" s="9" t="s">
        <v>12</v>
      </c>
      <c r="C4" s="10">
        <v>20</v>
      </c>
      <c r="D4" s="11">
        <f>IF(ISNUMBER(C4) = TRUE, C4*10^C$9*1000/C$10, "N/A")</f>
        <v>4000000</v>
      </c>
      <c r="E4" s="10">
        <v>196</v>
      </c>
      <c r="F4" s="11">
        <f>IF(ISNUMBER(E4) = TRUE, E4*10^E$9*1000/E$10, "N/A")</f>
        <v>3920000</v>
      </c>
    </row>
    <row r="5" spans="2:6" x14ac:dyDescent="0.45">
      <c r="B5" s="9" t="s">
        <v>13</v>
      </c>
      <c r="C5" s="10">
        <v>21</v>
      </c>
      <c r="D5" s="11">
        <f>IF(ISNUMBER(C5) = TRUE, C5*10^C$9*1000/C$10, "N/A")</f>
        <v>4200000</v>
      </c>
      <c r="E5" s="10">
        <v>205</v>
      </c>
      <c r="F5" s="11">
        <f>IF(ISNUMBER(E5) = TRUE, E5*10^E$9*1000/E$10, "N/A")</f>
        <v>4100000</v>
      </c>
    </row>
    <row r="6" spans="2:6" x14ac:dyDescent="0.45">
      <c r="B6" s="9" t="s">
        <v>14</v>
      </c>
      <c r="C6" s="10">
        <v>24</v>
      </c>
      <c r="D6" s="11">
        <f>IF(ISNUMBER(C6) = TRUE, C6*10^C$9*1000/C$10, "N/A")</f>
        <v>4800000</v>
      </c>
      <c r="E6" s="10">
        <v>213</v>
      </c>
      <c r="F6" s="11">
        <f>IF(ISNUMBER(E6) = TRUE, E6*10^E$9*1000/E$10, "N/A")</f>
        <v>4260000</v>
      </c>
    </row>
    <row r="7" spans="2:6" x14ac:dyDescent="0.45">
      <c r="B7" s="9" t="s">
        <v>15</v>
      </c>
      <c r="C7" s="10">
        <v>17</v>
      </c>
      <c r="D7" s="11">
        <f>IF(ISNUMBER(C7) = TRUE, C7*10^C$9*1000/C$10, "N/A")</f>
        <v>3400000</v>
      </c>
      <c r="E7" s="10">
        <v>222</v>
      </c>
      <c r="F7" s="11">
        <f>IF(ISNUMBER(E7) = TRUE, E7*10^E$9*1000/E$10, "N/A")</f>
        <v>4440000</v>
      </c>
    </row>
    <row r="8" spans="2:6" x14ac:dyDescent="0.45">
      <c r="B8" s="12" t="s">
        <v>16</v>
      </c>
      <c r="C8" s="13">
        <v>19</v>
      </c>
      <c r="D8" s="11">
        <f>IF(ISNUMBER(C8) = TRUE, C8*10^C$9*1000/C$10, "N/A")</f>
        <v>3800000</v>
      </c>
      <c r="E8" s="13">
        <v>231</v>
      </c>
      <c r="F8" s="11">
        <f>IF(ISNUMBER(E8) = TRUE, E8*10^E$9*1000/E$10, "N/A")</f>
        <v>4620000</v>
      </c>
    </row>
    <row r="9" spans="2:6" x14ac:dyDescent="0.45">
      <c r="B9" s="14" t="s">
        <v>50</v>
      </c>
      <c r="C9" s="15">
        <v>3</v>
      </c>
      <c r="D9" s="16"/>
      <c r="E9" s="15">
        <v>2</v>
      </c>
      <c r="F9" s="16"/>
    </row>
    <row r="10" spans="2:6" x14ac:dyDescent="0.45">
      <c r="B10" s="12" t="s">
        <v>7</v>
      </c>
      <c r="C10" s="17">
        <v>5</v>
      </c>
      <c r="D10" s="18"/>
      <c r="E10" s="17">
        <v>5</v>
      </c>
      <c r="F10" s="18"/>
    </row>
    <row r="11" spans="2:6" x14ac:dyDescent="0.45">
      <c r="B11" s="9" t="s">
        <v>18</v>
      </c>
      <c r="C11" s="10">
        <f>IF(ISBLANK(E4) = FALSE, (_xlfn.STDEV.P(D4:D8)^2+_xlfn.STDEV.P(F4:F8)^2)^(1/2), _xlfn.STDEV.P(D4:D8))</f>
        <v>524381.54048364446</v>
      </c>
      <c r="D11" s="10" t="s">
        <v>9</v>
      </c>
      <c r="E11" s="19">
        <v>0</v>
      </c>
      <c r="F11" s="20"/>
    </row>
    <row r="12" spans="2:6" x14ac:dyDescent="0.45">
      <c r="B12" s="9" t="s">
        <v>51</v>
      </c>
      <c r="C12" s="10">
        <f>IF(ISBLANK(E4) = FALSE, (AVERAGE(D4:D8)+AVERAGE(F4:F8))/2, AVERAGE(D4:D8))</f>
        <v>4154000</v>
      </c>
      <c r="D12" s="10" t="s">
        <v>10</v>
      </c>
      <c r="E12" s="21">
        <v>0.35416666666666669</v>
      </c>
      <c r="F12" s="22"/>
    </row>
    <row r="13" spans="2:6" ht="15.4" thickBot="1" x14ac:dyDescent="0.5">
      <c r="B13" s="23" t="s">
        <v>8</v>
      </c>
      <c r="C13" s="24">
        <v>5</v>
      </c>
      <c r="D13" s="24" t="s">
        <v>11</v>
      </c>
      <c r="E13" s="25">
        <f>C12*C13</f>
        <v>20770000</v>
      </c>
      <c r="F13" s="26"/>
    </row>
    <row r="14" spans="2:6" x14ac:dyDescent="0.45">
      <c r="B14" s="6">
        <v>2</v>
      </c>
      <c r="C14" s="7" t="s">
        <v>49</v>
      </c>
      <c r="D14" s="8" t="s">
        <v>17</v>
      </c>
      <c r="E14" s="7" t="s">
        <v>49</v>
      </c>
      <c r="F14" s="8" t="s">
        <v>17</v>
      </c>
    </row>
    <row r="15" spans="2:6" x14ac:dyDescent="0.45">
      <c r="B15" s="9" t="s">
        <v>12</v>
      </c>
      <c r="C15" s="10">
        <v>157</v>
      </c>
      <c r="D15" s="11">
        <f>IF(ISNUMBER(C15) = TRUE, C15*10^C$20*1000/C$21, "N/A")</f>
        <v>31400000</v>
      </c>
      <c r="E15" s="10" t="s">
        <v>19</v>
      </c>
      <c r="F15" s="11" t="str">
        <f>IF(ISNUMBER(E15) = TRUE, E15*10^E$20*1000/E$21, "N/A")</f>
        <v>N/A</v>
      </c>
    </row>
    <row r="16" spans="2:6" x14ac:dyDescent="0.45">
      <c r="B16" s="9" t="s">
        <v>13</v>
      </c>
      <c r="C16" s="10">
        <v>160</v>
      </c>
      <c r="D16" s="11">
        <f t="shared" ref="D16:D19" si="0">IF(ISNUMBER(C16) = TRUE, C16*10^C$20*1000/C$21, "N/A")</f>
        <v>32000000</v>
      </c>
      <c r="E16" s="10">
        <v>16</v>
      </c>
      <c r="F16" s="11">
        <f>IF(ISNUMBER(E16) = TRUE, E16*10^E$20*1000/E$21, "N/A")</f>
        <v>32000000</v>
      </c>
    </row>
    <row r="17" spans="2:6" x14ac:dyDescent="0.45">
      <c r="B17" s="9" t="s">
        <v>14</v>
      </c>
      <c r="C17" s="10">
        <v>155</v>
      </c>
      <c r="D17" s="11">
        <f t="shared" si="0"/>
        <v>31000000</v>
      </c>
      <c r="E17" s="10" t="s">
        <v>20</v>
      </c>
      <c r="F17" s="11" t="str">
        <f>IF(ISNUMBER(E17) = TRUE, E17*10^E$20*1000/E$21, "N/A")</f>
        <v>N/A</v>
      </c>
    </row>
    <row r="18" spans="2:6" x14ac:dyDescent="0.45">
      <c r="B18" s="9" t="s">
        <v>15</v>
      </c>
      <c r="C18" s="10" t="s">
        <v>21</v>
      </c>
      <c r="D18" s="11" t="str">
        <f t="shared" si="0"/>
        <v>N/A</v>
      </c>
      <c r="E18" s="10">
        <v>14</v>
      </c>
      <c r="F18" s="11">
        <f>IF(ISNUMBER(E18) = TRUE, E18*10^E$20*1000/E$21, "N/A")</f>
        <v>28000000</v>
      </c>
    </row>
    <row r="19" spans="2:6" x14ac:dyDescent="0.45">
      <c r="B19" s="12" t="s">
        <v>16</v>
      </c>
      <c r="C19" s="13">
        <v>158</v>
      </c>
      <c r="D19" s="11">
        <f t="shared" si="0"/>
        <v>31600000</v>
      </c>
      <c r="E19" s="13">
        <v>15</v>
      </c>
      <c r="F19" s="11">
        <f>IF(ISNUMBER(E19) = TRUE, E19*10^E$20*1000/E$21, "N/A")</f>
        <v>30000000</v>
      </c>
    </row>
    <row r="20" spans="2:6" x14ac:dyDescent="0.45">
      <c r="B20" s="14" t="s">
        <v>50</v>
      </c>
      <c r="C20" s="15">
        <v>3</v>
      </c>
      <c r="D20" s="16"/>
      <c r="E20" s="15">
        <v>4</v>
      </c>
      <c r="F20" s="16"/>
    </row>
    <row r="21" spans="2:6" x14ac:dyDescent="0.45">
      <c r="B21" s="12" t="s">
        <v>7</v>
      </c>
      <c r="C21" s="17">
        <v>5</v>
      </c>
      <c r="D21" s="18"/>
      <c r="E21" s="17">
        <v>5</v>
      </c>
      <c r="F21" s="18"/>
    </row>
    <row r="22" spans="2:6" x14ac:dyDescent="0.45">
      <c r="B22" s="9" t="s">
        <v>18</v>
      </c>
      <c r="C22" s="10">
        <f>IF(ISBLANK(E15) = FALSE, (_xlfn.STDEV.P(D15:D19)^2+_xlfn.STDEV.P(F15:F19)^2)^(1/2), _xlfn.STDEV.P(D15:D19))</f>
        <v>1672323.7326147908</v>
      </c>
      <c r="D22" s="10" t="s">
        <v>9</v>
      </c>
      <c r="E22" s="19">
        <f>E11+10</f>
        <v>10</v>
      </c>
      <c r="F22" s="20"/>
    </row>
    <row r="23" spans="2:6" x14ac:dyDescent="0.45">
      <c r="B23" s="9" t="s">
        <v>51</v>
      </c>
      <c r="C23" s="10">
        <f>IF(ISNUMBER(E15) = TRUE, (AVERAGE(D15:D19)+AVERAGE(F15:F19))/2, AVERAGE(D15:D19))</f>
        <v>31500000</v>
      </c>
      <c r="D23" s="10" t="s">
        <v>10</v>
      </c>
      <c r="E23" s="21">
        <f>E$12+E22/24</f>
        <v>0.77083333333333337</v>
      </c>
      <c r="F23" s="22"/>
    </row>
    <row r="24" spans="2:6" ht="15.4" thickBot="1" x14ac:dyDescent="0.5">
      <c r="B24" s="23" t="s">
        <v>8</v>
      </c>
      <c r="C24" s="24">
        <f>IF(ISNUMBER(C12) = FALSE, C13, C13-0.1)</f>
        <v>4.9000000000000004</v>
      </c>
      <c r="D24" s="24" t="s">
        <v>11</v>
      </c>
      <c r="E24" s="25">
        <f>C23*C24</f>
        <v>154350000</v>
      </c>
      <c r="F24" s="26"/>
    </row>
    <row r="25" spans="2:6" x14ac:dyDescent="0.45">
      <c r="B25" s="6">
        <v>3</v>
      </c>
      <c r="C25" s="7" t="s">
        <v>49</v>
      </c>
      <c r="D25" s="8" t="s">
        <v>17</v>
      </c>
      <c r="E25" s="7" t="s">
        <v>49</v>
      </c>
      <c r="F25" s="8" t="s">
        <v>17</v>
      </c>
    </row>
    <row r="26" spans="2:6" x14ac:dyDescent="0.45">
      <c r="B26" s="9" t="s">
        <v>12</v>
      </c>
      <c r="C26" s="10">
        <v>34</v>
      </c>
      <c r="D26" s="11">
        <f>IF(ISNUMBER(C26) = TRUE, C26*10^C$31*1000/C$32, "N/A")</f>
        <v>68000000</v>
      </c>
      <c r="E26" s="10"/>
      <c r="F26" s="11" t="str">
        <f>IF(ISNUMBER(E26) = TRUE, E26*10^E$31*1000/E$32, "N/A")</f>
        <v>N/A</v>
      </c>
    </row>
    <row r="27" spans="2:6" x14ac:dyDescent="0.45">
      <c r="B27" s="9" t="s">
        <v>13</v>
      </c>
      <c r="C27" s="10">
        <v>35</v>
      </c>
      <c r="D27" s="11">
        <f>IF(ISNUMBER(C27) = TRUE, C27*10^C$31*1000/C$32, "N/A")</f>
        <v>70000000</v>
      </c>
      <c r="E27" s="10"/>
      <c r="F27" s="11" t="str">
        <f>IF(ISNUMBER(E27) = TRUE, E27*10^E$31*1000/E$32, "N/A")</f>
        <v>N/A</v>
      </c>
    </row>
    <row r="28" spans="2:6" x14ac:dyDescent="0.45">
      <c r="B28" s="9" t="s">
        <v>14</v>
      </c>
      <c r="C28" s="10">
        <v>27</v>
      </c>
      <c r="D28" s="11">
        <f>IF(ISNUMBER(C28) = TRUE, C28*10^C$31*1000/C$32, "N/A")</f>
        <v>54000000</v>
      </c>
      <c r="E28" s="10"/>
      <c r="F28" s="11" t="str">
        <f>IF(ISNUMBER(E28) = TRUE, E28*10^E$31*1000/E$32, "N/A")</f>
        <v>N/A</v>
      </c>
    </row>
    <row r="29" spans="2:6" x14ac:dyDescent="0.45">
      <c r="B29" s="9" t="s">
        <v>15</v>
      </c>
      <c r="C29" s="10">
        <v>30</v>
      </c>
      <c r="D29" s="11">
        <f>IF(ISNUMBER(C29) = TRUE, C29*10^C$31*1000/C$32, "N/A")</f>
        <v>60000000</v>
      </c>
      <c r="E29" s="10"/>
      <c r="F29" s="11" t="str">
        <f>IF(ISNUMBER(E29) = TRUE, E29*10^E$31*1000/E$32, "N/A")</f>
        <v>N/A</v>
      </c>
    </row>
    <row r="30" spans="2:6" x14ac:dyDescent="0.45">
      <c r="B30" s="12" t="s">
        <v>16</v>
      </c>
      <c r="C30" s="13">
        <v>35</v>
      </c>
      <c r="D30" s="11">
        <f>IF(ISNUMBER(C30) = TRUE, C30*10^C$31*1000/C$32, "N/A")</f>
        <v>70000000</v>
      </c>
      <c r="E30" s="13"/>
      <c r="F30" s="11" t="str">
        <f>IF(ISNUMBER(E30) = TRUE, E30*10^E$31*1000/E$32, "N/A")</f>
        <v>N/A</v>
      </c>
    </row>
    <row r="31" spans="2:6" x14ac:dyDescent="0.45">
      <c r="B31" s="14" t="s">
        <v>50</v>
      </c>
      <c r="C31" s="15">
        <v>4</v>
      </c>
      <c r="D31" s="16"/>
      <c r="E31" s="15"/>
      <c r="F31" s="16"/>
    </row>
    <row r="32" spans="2:6" x14ac:dyDescent="0.45">
      <c r="B32" s="12" t="s">
        <v>7</v>
      </c>
      <c r="C32" s="17">
        <v>5</v>
      </c>
      <c r="D32" s="18"/>
      <c r="E32" s="17">
        <v>5</v>
      </c>
      <c r="F32" s="18"/>
    </row>
    <row r="33" spans="2:6" x14ac:dyDescent="0.45">
      <c r="B33" s="9" t="s">
        <v>18</v>
      </c>
      <c r="C33" s="10">
        <f>IF(ISBLANK(E26) = FALSE, (_xlfn.STDEV.P(D26:D30)^2+_xlfn.STDEV.P(F26:F30)^2)^(1/2), _xlfn.STDEV.P(D26:D30))</f>
        <v>6374950.9802036909</v>
      </c>
      <c r="D33" s="10" t="s">
        <v>9</v>
      </c>
      <c r="E33" s="19">
        <f>E22+3</f>
        <v>13</v>
      </c>
      <c r="F33" s="20"/>
    </row>
    <row r="34" spans="2:6" x14ac:dyDescent="0.45">
      <c r="B34" s="9" t="s">
        <v>51</v>
      </c>
      <c r="C34" s="10">
        <f>IF(ISBLANK(E26) = FALSE, (AVERAGE(D26:D30)+AVERAGE(F26:F30))/2, AVERAGE(D26:D30))</f>
        <v>64400000</v>
      </c>
      <c r="D34" s="10" t="s">
        <v>10</v>
      </c>
      <c r="E34" s="21">
        <f>E$12+E33/24</f>
        <v>0.89583333333333326</v>
      </c>
      <c r="F34" s="22"/>
    </row>
    <row r="35" spans="2:6" ht="15.4" thickBot="1" x14ac:dyDescent="0.5">
      <c r="B35" s="23" t="s">
        <v>8</v>
      </c>
      <c r="C35" s="24">
        <f>IF(ISNUMBER(C23) = FALSE, C24, C24-0.1)</f>
        <v>4.8000000000000007</v>
      </c>
      <c r="D35" s="24" t="s">
        <v>11</v>
      </c>
      <c r="E35" s="25">
        <f>C34*C35</f>
        <v>309120000.00000006</v>
      </c>
      <c r="F35" s="26"/>
    </row>
    <row r="36" spans="2:6" x14ac:dyDescent="0.45">
      <c r="B36" s="6">
        <v>4</v>
      </c>
      <c r="C36" s="7" t="s">
        <v>49</v>
      </c>
      <c r="D36" s="8" t="s">
        <v>17</v>
      </c>
      <c r="E36" s="7" t="s">
        <v>49</v>
      </c>
      <c r="F36" s="8" t="s">
        <v>17</v>
      </c>
    </row>
    <row r="37" spans="2:6" x14ac:dyDescent="0.45">
      <c r="B37" s="9" t="s">
        <v>12</v>
      </c>
      <c r="C37" s="10">
        <v>57</v>
      </c>
      <c r="D37" s="11">
        <f>IF(ISNUMBER(C37) = TRUE, C37*10^C$42*1000/C$43, "N/A")</f>
        <v>114000000</v>
      </c>
      <c r="E37" s="10"/>
      <c r="F37" s="11" t="str">
        <f>IF(ISNUMBER(E37) = TRUE, E37*10^E$42*1000/E$43, "N/A")</f>
        <v>N/A</v>
      </c>
    </row>
    <row r="38" spans="2:6" x14ac:dyDescent="0.45">
      <c r="B38" s="9" t="s">
        <v>13</v>
      </c>
      <c r="C38" s="10">
        <v>49</v>
      </c>
      <c r="D38" s="11">
        <f>IF(ISNUMBER(C38) = TRUE, C38*10^C$42*1000/C$43, "N/A")</f>
        <v>98000000</v>
      </c>
      <c r="E38" s="10"/>
      <c r="F38" s="11" t="str">
        <f>IF(ISNUMBER(E38) = TRUE, E38*10^E$42*1000/E$43, "N/A")</f>
        <v>N/A</v>
      </c>
    </row>
    <row r="39" spans="2:6" x14ac:dyDescent="0.45">
      <c r="B39" s="9" t="s">
        <v>14</v>
      </c>
      <c r="C39" s="10">
        <v>50</v>
      </c>
      <c r="D39" s="11">
        <f>IF(ISNUMBER(C39) = TRUE, C39*10^C$42*1000/C$43, "N/A")</f>
        <v>100000000</v>
      </c>
      <c r="E39" s="10"/>
      <c r="F39" s="11" t="str">
        <f>IF(ISNUMBER(E39) = TRUE, E39*10^E$42*1000/E$43, "N/A")</f>
        <v>N/A</v>
      </c>
    </row>
    <row r="40" spans="2:6" x14ac:dyDescent="0.45">
      <c r="B40" s="9" t="s">
        <v>15</v>
      </c>
      <c r="C40" s="10" t="s">
        <v>22</v>
      </c>
      <c r="D40" s="11" t="str">
        <f>IF(ISNUMBER(C40) = TRUE, C40*10^C$42*1000/C$43, "N/A")</f>
        <v>N/A</v>
      </c>
      <c r="E40" s="10"/>
      <c r="F40" s="11" t="str">
        <f>IF(ISNUMBER(E40) = TRUE, E40*10^E$42*1000/E$43, "N/A")</f>
        <v>N/A</v>
      </c>
    </row>
    <row r="41" spans="2:6" x14ac:dyDescent="0.45">
      <c r="B41" s="12" t="s">
        <v>16</v>
      </c>
      <c r="C41" s="13">
        <v>55</v>
      </c>
      <c r="D41" s="11">
        <f>IF(ISNUMBER(C41) = TRUE, C41*10^C$42*1000/C$43, "N/A")</f>
        <v>110000000</v>
      </c>
      <c r="E41" s="13"/>
      <c r="F41" s="11" t="str">
        <f>IF(ISNUMBER(E41) = TRUE, E41*10^E$42*1000/E$43, "N/A")</f>
        <v>N/A</v>
      </c>
    </row>
    <row r="42" spans="2:6" x14ac:dyDescent="0.45">
      <c r="B42" s="14" t="s">
        <v>50</v>
      </c>
      <c r="C42" s="15">
        <v>4</v>
      </c>
      <c r="D42" s="16"/>
      <c r="E42" s="15"/>
      <c r="F42" s="16"/>
    </row>
    <row r="43" spans="2:6" x14ac:dyDescent="0.45">
      <c r="B43" s="12" t="s">
        <v>7</v>
      </c>
      <c r="C43" s="17">
        <v>5</v>
      </c>
      <c r="D43" s="18"/>
      <c r="E43" s="17">
        <v>5</v>
      </c>
      <c r="F43" s="18"/>
    </row>
    <row r="44" spans="2:6" x14ac:dyDescent="0.45">
      <c r="B44" s="9" t="s">
        <v>18</v>
      </c>
      <c r="C44" s="10">
        <f>IF(ISBLANK(E37) = FALSE, (_xlfn.STDEV.P(D37:D41)^2+_xlfn.STDEV.P(F37:F41)^2)^(1/2), _xlfn.STDEV.P(D37:D41))</f>
        <v>6689544.0801298264</v>
      </c>
      <c r="D44" s="10" t="s">
        <v>9</v>
      </c>
      <c r="E44" s="19">
        <f>E33+3</f>
        <v>16</v>
      </c>
      <c r="F44" s="20"/>
    </row>
    <row r="45" spans="2:6" x14ac:dyDescent="0.45">
      <c r="B45" s="9" t="s">
        <v>51</v>
      </c>
      <c r="C45" s="10">
        <f>IF(ISBLANK(E37) = FALSE, (AVERAGE(D37:D41)+AVERAGE(F37:F41))/2, AVERAGE(D37:D41))</f>
        <v>105500000</v>
      </c>
      <c r="D45" s="10" t="s">
        <v>10</v>
      </c>
      <c r="E45" s="21">
        <f>E$12+E44/24</f>
        <v>1.0208333333333333</v>
      </c>
      <c r="F45" s="22"/>
    </row>
    <row r="46" spans="2:6" ht="15.4" thickBot="1" x14ac:dyDescent="0.5">
      <c r="B46" s="23" t="s">
        <v>8</v>
      </c>
      <c r="C46" s="24">
        <f>IF(ISNUMBER(C34) = FALSE, C35, C35-0.1)</f>
        <v>4.7000000000000011</v>
      </c>
      <c r="D46" s="24" t="s">
        <v>11</v>
      </c>
      <c r="E46" s="25">
        <f>C45*C46</f>
        <v>495850000.00000012</v>
      </c>
      <c r="F46" s="26"/>
    </row>
    <row r="47" spans="2:6" x14ac:dyDescent="0.45">
      <c r="B47" s="6">
        <v>5</v>
      </c>
      <c r="C47" s="7" t="s">
        <v>49</v>
      </c>
      <c r="D47" s="8" t="s">
        <v>17</v>
      </c>
      <c r="E47" s="7" t="s">
        <v>49</v>
      </c>
      <c r="F47" s="8" t="s">
        <v>17</v>
      </c>
    </row>
    <row r="48" spans="2:6" x14ac:dyDescent="0.45">
      <c r="B48" s="9" t="s">
        <v>12</v>
      </c>
      <c r="C48" s="10" t="s">
        <v>23</v>
      </c>
      <c r="D48" s="11" t="str">
        <f>IF(ISNUMBER(C48) = TRUE, C48*10^C$53*1000/C$54, "N/A")</f>
        <v>N/A</v>
      </c>
      <c r="E48" s="10" t="s">
        <v>24</v>
      </c>
      <c r="F48" s="11" t="str">
        <f>IF(ISNUMBER(E48) = TRUE, E48*10^E$53*1000/E$54, "N/A")</f>
        <v>N/A</v>
      </c>
    </row>
    <row r="49" spans="2:6" x14ac:dyDescent="0.45">
      <c r="B49" s="9" t="s">
        <v>13</v>
      </c>
      <c r="C49" s="10" t="s">
        <v>25</v>
      </c>
      <c r="D49" s="11" t="str">
        <f>IF(ISNUMBER(C49) = TRUE, C49*10^C$53*1000/C$54, "N/A")</f>
        <v>N/A</v>
      </c>
      <c r="E49" s="10">
        <v>46</v>
      </c>
      <c r="F49" s="11">
        <f>IF(ISNUMBER(E49) = TRUE, E49*10^E$53*1000/E$54, "N/A")</f>
        <v>92000000</v>
      </c>
    </row>
    <row r="50" spans="2:6" x14ac:dyDescent="0.45">
      <c r="B50" s="9" t="s">
        <v>14</v>
      </c>
      <c r="C50" s="10">
        <v>368</v>
      </c>
      <c r="D50" s="11">
        <f>IF(ISNUMBER(C50) = TRUE, C50*10^C$53*1000/C$54, "N/A")</f>
        <v>73600000</v>
      </c>
      <c r="E50" s="10">
        <v>45</v>
      </c>
      <c r="F50" s="11">
        <f>IF(ISNUMBER(E50) = TRUE, E50*10^E$53*1000/E$54, "N/A")</f>
        <v>90000000</v>
      </c>
    </row>
    <row r="51" spans="2:6" x14ac:dyDescent="0.45">
      <c r="B51" s="9" t="s">
        <v>15</v>
      </c>
      <c r="C51" s="10">
        <v>378</v>
      </c>
      <c r="D51" s="11">
        <f>IF(ISNUMBER(C51) = TRUE, C51*10^C$53*1000/C$54, "N/A")</f>
        <v>75600000</v>
      </c>
      <c r="E51" s="10" t="s">
        <v>26</v>
      </c>
      <c r="F51" s="11" t="str">
        <f>IF(ISNUMBER(E51) = TRUE, E51*10^E$53*1000/E$54, "N/A")</f>
        <v>N/A</v>
      </c>
    </row>
    <row r="52" spans="2:6" x14ac:dyDescent="0.45">
      <c r="B52" s="12" t="s">
        <v>16</v>
      </c>
      <c r="C52" s="13">
        <v>372</v>
      </c>
      <c r="D52" s="11">
        <f>IF(ISNUMBER(C52) = TRUE, C52*10^C$53*1000/C$54, "N/A")</f>
        <v>74400000</v>
      </c>
      <c r="E52" s="13">
        <v>49</v>
      </c>
      <c r="F52" s="11">
        <f>IF(ISNUMBER(E52) = TRUE, E52*10^E$53*1000/E$54, "N/A")</f>
        <v>98000000</v>
      </c>
    </row>
    <row r="53" spans="2:6" x14ac:dyDescent="0.45">
      <c r="B53" s="14" t="s">
        <v>50</v>
      </c>
      <c r="C53" s="15">
        <v>3</v>
      </c>
      <c r="D53" s="16"/>
      <c r="E53" s="15">
        <v>4</v>
      </c>
      <c r="F53" s="16"/>
    </row>
    <row r="54" spans="2:6" x14ac:dyDescent="0.45">
      <c r="B54" s="12" t="s">
        <v>7</v>
      </c>
      <c r="C54" s="17">
        <v>5</v>
      </c>
      <c r="D54" s="18"/>
      <c r="E54" s="17">
        <v>5</v>
      </c>
      <c r="F54" s="18"/>
    </row>
    <row r="55" spans="2:6" x14ac:dyDescent="0.45">
      <c r="B55" s="9" t="s">
        <v>18</v>
      </c>
      <c r="C55" s="10">
        <f>IF(ISBLANK(E48) = FALSE, (_xlfn.STDEV.P(D48:D52)^2+_xlfn.STDEV.P(F48:F52)^2)^(1/2), _xlfn.STDEV.P(D48:D52))</f>
        <v>3497300.5462944005</v>
      </c>
      <c r="D55" s="10" t="s">
        <v>9</v>
      </c>
      <c r="E55" s="19">
        <f>E44+3</f>
        <v>19</v>
      </c>
      <c r="F55" s="20"/>
    </row>
    <row r="56" spans="2:6" x14ac:dyDescent="0.45">
      <c r="B56" s="9" t="s">
        <v>51</v>
      </c>
      <c r="C56" s="10">
        <f>IF(ISBLANK(E48) = FALSE, (AVERAGE(D48:D52)+AVERAGE(F48:F52))/2, AVERAGE(D48:D52))</f>
        <v>83933333.333333328</v>
      </c>
      <c r="D56" s="10" t="s">
        <v>10</v>
      </c>
      <c r="E56" s="21">
        <f>E$12+E55/24</f>
        <v>1.1458333333333333</v>
      </c>
      <c r="F56" s="22"/>
    </row>
    <row r="57" spans="2:6" ht="15.4" thickBot="1" x14ac:dyDescent="0.5">
      <c r="B57" s="23" t="s">
        <v>8</v>
      </c>
      <c r="C57" s="24">
        <f>IF(ISNUMBER(C45) = FALSE, C46, C46-0.1)</f>
        <v>4.6000000000000014</v>
      </c>
      <c r="D57" s="24" t="s">
        <v>11</v>
      </c>
      <c r="E57" s="25">
        <f>C56*C57</f>
        <v>386093333.33333343</v>
      </c>
      <c r="F57" s="26"/>
    </row>
    <row r="58" spans="2:6" x14ac:dyDescent="0.45">
      <c r="B58" s="6">
        <v>6</v>
      </c>
      <c r="C58" s="7" t="s">
        <v>49</v>
      </c>
      <c r="D58" s="8" t="s">
        <v>17</v>
      </c>
      <c r="E58" s="7" t="s">
        <v>49</v>
      </c>
      <c r="F58" s="8" t="s">
        <v>17</v>
      </c>
    </row>
    <row r="59" spans="2:6" x14ac:dyDescent="0.45">
      <c r="B59" s="9" t="s">
        <v>12</v>
      </c>
      <c r="C59" s="10">
        <v>82</v>
      </c>
      <c r="D59" s="11">
        <f>IF(ISNUMBER(C59) = TRUE, C59*10^C$64*1000/C$65, "N/A")</f>
        <v>164000000</v>
      </c>
      <c r="E59" s="10">
        <v>8</v>
      </c>
      <c r="F59" s="11">
        <f>IF(ISNUMBER(E59) = TRUE, E59*10^E$64*1000/E$65, "N/A")</f>
        <v>160000000</v>
      </c>
    </row>
    <row r="60" spans="2:6" x14ac:dyDescent="0.45">
      <c r="B60" s="9" t="s">
        <v>13</v>
      </c>
      <c r="C60" s="10" t="s">
        <v>27</v>
      </c>
      <c r="D60" s="11" t="str">
        <f>IF(ISNUMBER(C60) = TRUE, C60*10^C$64*1000/C$65, "N/A")</f>
        <v>N/A</v>
      </c>
      <c r="E60" s="10">
        <v>8</v>
      </c>
      <c r="F60" s="11">
        <f>IF(ISNUMBER(E60) = TRUE, E60*10^E$64*1000/E$65, "N/A")</f>
        <v>160000000</v>
      </c>
    </row>
    <row r="61" spans="2:6" x14ac:dyDescent="0.45">
      <c r="B61" s="9" t="s">
        <v>14</v>
      </c>
      <c r="C61" s="10">
        <v>75</v>
      </c>
      <c r="D61" s="11">
        <f>IF(ISNUMBER(C61) = TRUE, C61*10^C$64*1000/C$65, "N/A")</f>
        <v>150000000</v>
      </c>
      <c r="E61" s="10">
        <v>10</v>
      </c>
      <c r="F61" s="11">
        <f>IF(ISNUMBER(E61) = TRUE, E61*10^E$64*1000/E$65, "N/A")</f>
        <v>200000000</v>
      </c>
    </row>
    <row r="62" spans="2:6" x14ac:dyDescent="0.45">
      <c r="B62" s="9" t="s">
        <v>15</v>
      </c>
      <c r="C62" s="10">
        <v>87</v>
      </c>
      <c r="D62" s="11">
        <f>IF(ISNUMBER(C62) = TRUE, C62*10^C$64*1000/C$65, "N/A")</f>
        <v>174000000</v>
      </c>
      <c r="E62" s="10">
        <v>8</v>
      </c>
      <c r="F62" s="11">
        <f>IF(ISNUMBER(E62) = TRUE, E62*10^E$64*1000/E$65, "N/A")</f>
        <v>160000000</v>
      </c>
    </row>
    <row r="63" spans="2:6" x14ac:dyDescent="0.45">
      <c r="B63" s="12" t="s">
        <v>16</v>
      </c>
      <c r="C63" s="13">
        <v>88</v>
      </c>
      <c r="D63" s="11">
        <f>IF(ISNUMBER(C63) = TRUE, C63*10^C$64*1000/C$65, "N/A")</f>
        <v>176000000</v>
      </c>
      <c r="E63" s="13">
        <v>6</v>
      </c>
      <c r="F63" s="11">
        <f>IF(ISNUMBER(E63) = TRUE, E63*10^E$64*1000/E$65, "N/A")</f>
        <v>120000000</v>
      </c>
    </row>
    <row r="64" spans="2:6" x14ac:dyDescent="0.45">
      <c r="B64" s="14" t="s">
        <v>50</v>
      </c>
      <c r="C64" s="15">
        <v>4</v>
      </c>
      <c r="D64" s="16"/>
      <c r="E64" s="27">
        <v>5</v>
      </c>
      <c r="F64" s="16"/>
    </row>
    <row r="65" spans="2:6" x14ac:dyDescent="0.45">
      <c r="B65" s="12" t="s">
        <v>7</v>
      </c>
      <c r="C65" s="17">
        <v>5</v>
      </c>
      <c r="D65" s="18"/>
      <c r="E65" s="28">
        <v>5</v>
      </c>
      <c r="F65" s="18"/>
    </row>
    <row r="66" spans="2:6" x14ac:dyDescent="0.45">
      <c r="B66" s="9" t="s">
        <v>18</v>
      </c>
      <c r="C66" s="10">
        <f>IF(ISBLANK(E59) = FALSE, (_xlfn.STDEV.P(D59:D63)^2+_xlfn.STDEV.P(F59:F63)^2)^(1/2), _xlfn.STDEV.P(D59:D63))</f>
        <v>27313000.567495327</v>
      </c>
      <c r="D66" s="10" t="s">
        <v>9</v>
      </c>
      <c r="E66" s="19">
        <f>E55+3</f>
        <v>22</v>
      </c>
      <c r="F66" s="20"/>
    </row>
    <row r="67" spans="2:6" x14ac:dyDescent="0.45">
      <c r="B67" s="9" t="s">
        <v>51</v>
      </c>
      <c r="C67" s="10">
        <f>IF(ISBLANK(E59) = FALSE, (AVERAGE(D59:D63)+AVERAGE(F59:F63))/2, AVERAGE(D59:D63))</f>
        <v>163000000</v>
      </c>
      <c r="D67" s="10" t="s">
        <v>10</v>
      </c>
      <c r="E67" s="21">
        <f>E$12+E66/24</f>
        <v>1.2708333333333333</v>
      </c>
      <c r="F67" s="22"/>
    </row>
    <row r="68" spans="2:6" ht="15.4" thickBot="1" x14ac:dyDescent="0.5">
      <c r="B68" s="23" t="s">
        <v>8</v>
      </c>
      <c r="C68" s="24">
        <f>IF(ISNUMBER(C56) = FALSE, C57, C57-0.1)</f>
        <v>4.5000000000000018</v>
      </c>
      <c r="D68" s="24" t="s">
        <v>11</v>
      </c>
      <c r="E68" s="25">
        <f>C67*C68</f>
        <v>733500000.00000024</v>
      </c>
      <c r="F68" s="26"/>
    </row>
    <row r="69" spans="2:6" x14ac:dyDescent="0.45">
      <c r="B69" s="6">
        <v>7</v>
      </c>
      <c r="C69" s="7" t="s">
        <v>49</v>
      </c>
      <c r="D69" s="8" t="s">
        <v>17</v>
      </c>
      <c r="E69" s="7" t="s">
        <v>49</v>
      </c>
      <c r="F69" s="8" t="s">
        <v>17</v>
      </c>
    </row>
    <row r="70" spans="2:6" x14ac:dyDescent="0.45">
      <c r="B70" s="9" t="s">
        <v>12</v>
      </c>
      <c r="C70" s="10">
        <v>131</v>
      </c>
      <c r="D70" s="11">
        <f>IF(ISNUMBER(C70) = TRUE, C70*10^C$75*1000/C$76, "N/A")</f>
        <v>262000000</v>
      </c>
      <c r="E70" s="10">
        <v>15</v>
      </c>
      <c r="F70" s="11">
        <f>IF(ISNUMBER(E70) = TRUE, E70*10^E$75*1000/E$76, "N/A")</f>
        <v>300000000</v>
      </c>
    </row>
    <row r="71" spans="2:6" x14ac:dyDescent="0.45">
      <c r="B71" s="9" t="s">
        <v>13</v>
      </c>
      <c r="C71" s="10">
        <v>146</v>
      </c>
      <c r="D71" s="11">
        <f>IF(ISNUMBER(C71) = TRUE, C71*10^C$75*1000/C$76, "N/A")</f>
        <v>292000000</v>
      </c>
      <c r="E71" s="10">
        <v>13</v>
      </c>
      <c r="F71" s="11">
        <f>IF(ISNUMBER(E71) = TRUE, E71*10^E$75*1000/E$76, "N/A")</f>
        <v>260000000</v>
      </c>
    </row>
    <row r="72" spans="2:6" x14ac:dyDescent="0.45">
      <c r="B72" s="9" t="s">
        <v>14</v>
      </c>
      <c r="C72" s="10">
        <v>157</v>
      </c>
      <c r="D72" s="11">
        <f>IF(ISNUMBER(C72) = TRUE, C72*10^C$75*1000/C$76, "N/A")</f>
        <v>314000000</v>
      </c>
      <c r="E72" s="10">
        <v>15</v>
      </c>
      <c r="F72" s="11">
        <f>IF(ISNUMBER(E72) = TRUE, E72*10^E$75*1000/E$76, "N/A")</f>
        <v>300000000</v>
      </c>
    </row>
    <row r="73" spans="2:6" x14ac:dyDescent="0.45">
      <c r="B73" s="9" t="s">
        <v>15</v>
      </c>
      <c r="C73" s="10" t="s">
        <v>28</v>
      </c>
      <c r="D73" s="11" t="str">
        <f>IF(ISNUMBER(C73) = TRUE, C73*10^C$75*1000/C$76, "N/A")</f>
        <v>N/A</v>
      </c>
      <c r="E73" s="10" t="s">
        <v>19</v>
      </c>
      <c r="F73" s="11" t="str">
        <f>IF(ISNUMBER(E73) = TRUE, E73*10^E$75*1000/E$76, "N/A")</f>
        <v>N/A</v>
      </c>
    </row>
    <row r="74" spans="2:6" x14ac:dyDescent="0.45">
      <c r="B74" s="12" t="s">
        <v>16</v>
      </c>
      <c r="C74" s="13" t="s">
        <v>29</v>
      </c>
      <c r="D74" s="11" t="str">
        <f>IF(ISNUMBER(C74) = TRUE, C74*10^C$75*1000/C$76, "N/A")</f>
        <v>N/A</v>
      </c>
      <c r="E74" s="13" t="s">
        <v>30</v>
      </c>
      <c r="F74" s="11" t="str">
        <f>IF(ISNUMBER(E74) = TRUE, E74*10^E$75*1000/E$76, "N/A")</f>
        <v>N/A</v>
      </c>
    </row>
    <row r="75" spans="2:6" x14ac:dyDescent="0.45">
      <c r="B75" s="14" t="s">
        <v>50</v>
      </c>
      <c r="C75" s="15">
        <v>4</v>
      </c>
      <c r="D75" s="16"/>
      <c r="E75" s="27">
        <v>5</v>
      </c>
      <c r="F75" s="16"/>
    </row>
    <row r="76" spans="2:6" x14ac:dyDescent="0.45">
      <c r="B76" s="12" t="s">
        <v>7</v>
      </c>
      <c r="C76" s="17">
        <v>5</v>
      </c>
      <c r="D76" s="18"/>
      <c r="E76" s="28">
        <v>5</v>
      </c>
      <c r="F76" s="18"/>
    </row>
    <row r="77" spans="2:6" x14ac:dyDescent="0.45">
      <c r="B77" s="9" t="s">
        <v>18</v>
      </c>
      <c r="C77" s="10">
        <f>IF(ISBLANK(E70) = FALSE, (_xlfn.STDEV.P(D70:D74)^2+_xlfn.STDEV.P(F70:F74)^2)^(1/2), _xlfn.STDEV.P(D70:D74))</f>
        <v>28456594.627217393</v>
      </c>
      <c r="D77" s="10" t="s">
        <v>9</v>
      </c>
      <c r="E77" s="19">
        <f>E66+3</f>
        <v>25</v>
      </c>
      <c r="F77" s="20"/>
    </row>
    <row r="78" spans="2:6" x14ac:dyDescent="0.45">
      <c r="B78" s="9" t="s">
        <v>51</v>
      </c>
      <c r="C78" s="10">
        <f>IF(ISBLANK(E70) = FALSE, (AVERAGE(D70:D74)+AVERAGE(F70:F74))/2, AVERAGE(D70:D74))</f>
        <v>288000000</v>
      </c>
      <c r="D78" s="10" t="s">
        <v>10</v>
      </c>
      <c r="E78" s="21">
        <f>E$12+E77/24</f>
        <v>1.3958333333333335</v>
      </c>
      <c r="F78" s="22"/>
    </row>
    <row r="79" spans="2:6" ht="15.4" thickBot="1" x14ac:dyDescent="0.5">
      <c r="B79" s="23" t="s">
        <v>8</v>
      </c>
      <c r="C79" s="24">
        <f>IF(ISNUMBER(C67) = FALSE, C68, C68-0.1)</f>
        <v>4.4000000000000021</v>
      </c>
      <c r="D79" s="24" t="s">
        <v>11</v>
      </c>
      <c r="E79" s="25">
        <f>C78*C79</f>
        <v>1267200000.0000007</v>
      </c>
      <c r="F79" s="26"/>
    </row>
    <row r="80" spans="2:6" x14ac:dyDescent="0.45">
      <c r="B80" s="6">
        <v>8</v>
      </c>
      <c r="C80" s="7" t="s">
        <v>49</v>
      </c>
      <c r="D80" s="8" t="s">
        <v>17</v>
      </c>
      <c r="E80" s="7" t="s">
        <v>49</v>
      </c>
      <c r="F80" s="8" t="s">
        <v>17</v>
      </c>
    </row>
    <row r="81" spans="2:6" x14ac:dyDescent="0.45">
      <c r="B81" s="9" t="s">
        <v>12</v>
      </c>
      <c r="C81" s="10" t="s">
        <v>31</v>
      </c>
      <c r="D81" s="11" t="str">
        <f>IF(ISNUMBER(C81) = TRUE, C81*10^C86*1000/C87, "N/A")</f>
        <v>N/A</v>
      </c>
      <c r="E81" s="10">
        <v>12</v>
      </c>
      <c r="F81" s="11">
        <f>IF(ISNUMBER(E81) = TRUE, E81*10^E86*1000/E87, "N/A")</f>
        <v>240000000</v>
      </c>
    </row>
    <row r="82" spans="2:6" x14ac:dyDescent="0.45">
      <c r="B82" s="9" t="s">
        <v>13</v>
      </c>
      <c r="C82" s="10">
        <v>163</v>
      </c>
      <c r="D82" s="11">
        <f>IF(ISNUMBER(C82) = TRUE, C82*10^C86*1000/C87, "N/A")</f>
        <v>326000000</v>
      </c>
      <c r="E82" s="10">
        <v>17</v>
      </c>
      <c r="F82" s="11">
        <f>IF(ISNUMBER(E82) = TRUE, E82*10^E86*1000/E87, "N/A")</f>
        <v>340000000</v>
      </c>
    </row>
    <row r="83" spans="2:6" x14ac:dyDescent="0.45">
      <c r="B83" s="9" t="s">
        <v>14</v>
      </c>
      <c r="C83" s="10">
        <v>159</v>
      </c>
      <c r="D83" s="11">
        <f>IF(ISNUMBER(C83) = TRUE, C83*10^C86*1000/C87, "N/A")</f>
        <v>318000000</v>
      </c>
      <c r="E83" s="10">
        <v>14</v>
      </c>
      <c r="F83" s="11">
        <f>IF(ISNUMBER(E83) = TRUE, E83*10^E86*1000/E87, "N/A")</f>
        <v>280000000</v>
      </c>
    </row>
    <row r="84" spans="2:6" x14ac:dyDescent="0.45">
      <c r="B84" s="9" t="s">
        <v>15</v>
      </c>
      <c r="C84" s="10">
        <v>158</v>
      </c>
      <c r="D84" s="11">
        <f>IF(ISNUMBER(C84) = TRUE, C84*10^C86*1000/C87, "N/A")</f>
        <v>316000000</v>
      </c>
      <c r="E84" s="10" t="s">
        <v>20</v>
      </c>
      <c r="F84" s="11" t="str">
        <f>IF(ISNUMBER(E84) = TRUE, E84*10^E86*1000/E87, "N/A")</f>
        <v>N/A</v>
      </c>
    </row>
    <row r="85" spans="2:6" x14ac:dyDescent="0.45">
      <c r="B85" s="12" t="s">
        <v>16</v>
      </c>
      <c r="C85" s="13">
        <v>141</v>
      </c>
      <c r="D85" s="11">
        <f>IF(ISNUMBER(C85) = TRUE, C85*10^C86*1000/C87, "N/A")</f>
        <v>282000000</v>
      </c>
      <c r="E85" s="13">
        <v>15</v>
      </c>
      <c r="F85" s="11">
        <f>IF(ISNUMBER(E85) = TRUE, E85*10^E86*1000/E87, "N/A")</f>
        <v>300000000</v>
      </c>
    </row>
    <row r="86" spans="2:6" x14ac:dyDescent="0.45">
      <c r="B86" s="14" t="s">
        <v>50</v>
      </c>
      <c r="C86" s="15">
        <v>4</v>
      </c>
      <c r="D86" s="16"/>
      <c r="E86" s="27">
        <v>5</v>
      </c>
      <c r="F86" s="16"/>
    </row>
    <row r="87" spans="2:6" x14ac:dyDescent="0.45">
      <c r="B87" s="12" t="s">
        <v>7</v>
      </c>
      <c r="C87" s="17">
        <v>5</v>
      </c>
      <c r="D87" s="18"/>
      <c r="E87" s="28">
        <v>5</v>
      </c>
      <c r="F87" s="18"/>
    </row>
    <row r="88" spans="2:6" x14ac:dyDescent="0.45">
      <c r="B88" s="9" t="s">
        <v>18</v>
      </c>
      <c r="C88" s="10">
        <f>IF(ISBLANK(E81) = FALSE, (_xlfn.STDEV.P(D81:D85)^2+_xlfn.STDEV.P(F81:F85)^2)^(1/2), _xlfn.STDEV.P(D81:D85))</f>
        <v>39808918.598726086</v>
      </c>
      <c r="D88" s="10" t="s">
        <v>9</v>
      </c>
      <c r="E88" s="19">
        <f>E77+3+1/3</f>
        <v>28.333333333333332</v>
      </c>
      <c r="F88" s="20"/>
    </row>
    <row r="89" spans="2:6" x14ac:dyDescent="0.45">
      <c r="B89" s="9" t="s">
        <v>51</v>
      </c>
      <c r="C89" s="10">
        <f>IF(ISBLANK(E81) = FALSE, (AVERAGE(D81:D85)+AVERAGE(F81:F85))/2, AVERAGE(D81:D85))</f>
        <v>300250000</v>
      </c>
      <c r="D89" s="10" t="s">
        <v>10</v>
      </c>
      <c r="E89" s="21">
        <f>E$12+E88/24</f>
        <v>1.5347222222222223</v>
      </c>
      <c r="F89" s="22"/>
    </row>
    <row r="90" spans="2:6" ht="15.4" thickBot="1" x14ac:dyDescent="0.5">
      <c r="B90" s="23" t="s">
        <v>8</v>
      </c>
      <c r="C90" s="24">
        <f>IF(ISNUMBER(C78) = FALSE, C79, C79-0.1)</f>
        <v>4.3000000000000025</v>
      </c>
      <c r="D90" s="24" t="s">
        <v>11</v>
      </c>
      <c r="E90" s="25">
        <f>C89*C90</f>
        <v>1291075000.0000007</v>
      </c>
      <c r="F90" s="26"/>
    </row>
    <row r="91" spans="2:6" x14ac:dyDescent="0.45">
      <c r="B91" s="6">
        <v>9</v>
      </c>
      <c r="C91" s="7" t="s">
        <v>49</v>
      </c>
      <c r="D91" s="8" t="s">
        <v>17</v>
      </c>
      <c r="E91" s="7" t="s">
        <v>49</v>
      </c>
      <c r="F91" s="8" t="s">
        <v>17</v>
      </c>
    </row>
    <row r="92" spans="2:6" x14ac:dyDescent="0.45">
      <c r="B92" s="9" t="s">
        <v>12</v>
      </c>
      <c r="C92" s="10">
        <v>147</v>
      </c>
      <c r="D92" s="11">
        <f>IF(ISNUMBER(C92) = TRUE, C92*10^C97*1000/C98, "N/A")</f>
        <v>294000000</v>
      </c>
      <c r="E92" s="10">
        <v>15</v>
      </c>
      <c r="F92" s="11">
        <f>IF(ISNUMBER(E92) = TRUE, E92*10^E97*1000/E98, "N/A")</f>
        <v>300000000</v>
      </c>
    </row>
    <row r="93" spans="2:6" x14ac:dyDescent="0.45">
      <c r="B93" s="9" t="s">
        <v>13</v>
      </c>
      <c r="C93" s="10">
        <v>138</v>
      </c>
      <c r="D93" s="11">
        <f>IF(ISNUMBER(C93) = TRUE, C93*10^C97*1000/C98, "N/A")</f>
        <v>276000000</v>
      </c>
      <c r="E93" s="10" t="s">
        <v>32</v>
      </c>
      <c r="F93" s="11" t="str">
        <f>IF(ISNUMBER(E93) = TRUE, E93*10^E97*1000/E98, "N/A")</f>
        <v>N/A</v>
      </c>
    </row>
    <row r="94" spans="2:6" x14ac:dyDescent="0.45">
      <c r="B94" s="9" t="s">
        <v>14</v>
      </c>
      <c r="C94" s="10" t="s">
        <v>33</v>
      </c>
      <c r="D94" s="11" t="str">
        <f>IF(ISNUMBER(C94) = TRUE, C94*10^C97*1000/C98, "N/A")</f>
        <v>N/A</v>
      </c>
      <c r="E94" s="10">
        <v>14</v>
      </c>
      <c r="F94" s="11">
        <f>IF(ISNUMBER(E94) = TRUE, E94*10^E97*1000/E98, "N/A")</f>
        <v>280000000</v>
      </c>
    </row>
    <row r="95" spans="2:6" x14ac:dyDescent="0.45">
      <c r="B95" s="9" t="s">
        <v>15</v>
      </c>
      <c r="C95" s="10">
        <v>156</v>
      </c>
      <c r="D95" s="11">
        <f>IF(ISNUMBER(C95) = TRUE, C95*10^C97*1000/C98, "N/A")</f>
        <v>312000000</v>
      </c>
      <c r="E95" s="10">
        <v>13</v>
      </c>
      <c r="F95" s="11">
        <f>IF(ISNUMBER(E95) = TRUE, E95*10^E97*1000/E98, "N/A")</f>
        <v>260000000</v>
      </c>
    </row>
    <row r="96" spans="2:6" x14ac:dyDescent="0.45">
      <c r="B96" s="12" t="s">
        <v>16</v>
      </c>
      <c r="C96" s="13" t="s">
        <v>34</v>
      </c>
      <c r="D96" s="11" t="str">
        <f>IF(ISNUMBER(C96) = TRUE, C96*10^C97*1000/C98, "N/A")</f>
        <v>N/A</v>
      </c>
      <c r="E96" s="13" t="s">
        <v>35</v>
      </c>
      <c r="F96" s="11" t="str">
        <f>IF(ISNUMBER(E96) = TRUE, E96*10^E97*1000/E98, "N/A")</f>
        <v>N/A</v>
      </c>
    </row>
    <row r="97" spans="2:6" x14ac:dyDescent="0.45">
      <c r="B97" s="14" t="s">
        <v>50</v>
      </c>
      <c r="C97" s="15">
        <v>4</v>
      </c>
      <c r="D97" s="16"/>
      <c r="E97" s="27">
        <v>5</v>
      </c>
      <c r="F97" s="16"/>
    </row>
    <row r="98" spans="2:6" x14ac:dyDescent="0.45">
      <c r="B98" s="12" t="s">
        <v>7</v>
      </c>
      <c r="C98" s="17">
        <v>5</v>
      </c>
      <c r="D98" s="18"/>
      <c r="E98" s="28">
        <v>5</v>
      </c>
      <c r="F98" s="18"/>
    </row>
    <row r="99" spans="2:6" x14ac:dyDescent="0.45">
      <c r="B99" s="9" t="s">
        <v>18</v>
      </c>
      <c r="C99" s="10">
        <f>IF(ISBLANK(E92) = FALSE, (_xlfn.STDEV.P(D92:D96)^2+_xlfn.STDEV.P(F92:F96)^2)^(1/2), _xlfn.STDEV.P(D92:D96))</f>
        <v>21969676.07104544</v>
      </c>
      <c r="D99" s="10" t="s">
        <v>9</v>
      </c>
      <c r="E99" s="19">
        <f>E88+3-0.5-1/3</f>
        <v>30.5</v>
      </c>
      <c r="F99" s="20"/>
    </row>
    <row r="100" spans="2:6" x14ac:dyDescent="0.45">
      <c r="B100" s="9" t="s">
        <v>51</v>
      </c>
      <c r="C100" s="10">
        <f>IF(ISBLANK(E92) = FALSE, (AVERAGE(D92:D96)+AVERAGE(F92:F96))/2, AVERAGE(D92:D96))</f>
        <v>287000000</v>
      </c>
      <c r="D100" s="10" t="s">
        <v>10</v>
      </c>
      <c r="E100" s="21">
        <f>E$12+E99/24</f>
        <v>1.625</v>
      </c>
      <c r="F100" s="22"/>
    </row>
    <row r="101" spans="2:6" ht="15.4" thickBot="1" x14ac:dyDescent="0.5">
      <c r="B101" s="23" t="s">
        <v>8</v>
      </c>
      <c r="C101" s="24">
        <f>IF(ISNUMBER(C89) = FALSE, C90, C90-0.1)</f>
        <v>4.2000000000000028</v>
      </c>
      <c r="D101" s="24" t="s">
        <v>11</v>
      </c>
      <c r="E101" s="25">
        <f>C100*C101</f>
        <v>1205400000.0000007</v>
      </c>
      <c r="F101" s="26"/>
    </row>
    <row r="102" spans="2:6" x14ac:dyDescent="0.45">
      <c r="B102" s="6">
        <v>10</v>
      </c>
      <c r="C102" s="7" t="s">
        <v>49</v>
      </c>
      <c r="D102" s="8" t="s">
        <v>17</v>
      </c>
      <c r="E102" s="7" t="s">
        <v>49</v>
      </c>
      <c r="F102" s="8" t="s">
        <v>17</v>
      </c>
    </row>
    <row r="103" spans="2:6" x14ac:dyDescent="0.45">
      <c r="B103" s="9" t="s">
        <v>12</v>
      </c>
      <c r="C103" s="10">
        <v>228</v>
      </c>
      <c r="D103" s="11">
        <f>IF(ISNUMBER(C103) = TRUE, C103*10^C108*1000/C109, "N/A")</f>
        <v>456000000</v>
      </c>
      <c r="E103" s="10">
        <v>23</v>
      </c>
      <c r="F103" s="11">
        <f>IF(ISNUMBER(E103) = TRUE, E103*10^E108*1000/E109, "N/A")</f>
        <v>460000000</v>
      </c>
    </row>
    <row r="104" spans="2:6" x14ac:dyDescent="0.45">
      <c r="B104" s="9" t="s">
        <v>13</v>
      </c>
      <c r="C104" s="10">
        <v>225</v>
      </c>
      <c r="D104" s="11">
        <f>IF(ISNUMBER(C104) = TRUE, C104*10^C108*1000/C109, "N/A")</f>
        <v>450000000</v>
      </c>
      <c r="E104" s="10">
        <v>22</v>
      </c>
      <c r="F104" s="11">
        <f>IF(ISNUMBER(E104) = TRUE, E104*10^E108*1000/E109, "N/A")</f>
        <v>440000000</v>
      </c>
    </row>
    <row r="105" spans="2:6" x14ac:dyDescent="0.45">
      <c r="B105" s="9" t="s">
        <v>14</v>
      </c>
      <c r="C105" s="10">
        <v>216</v>
      </c>
      <c r="D105" s="11">
        <f>IF(ISNUMBER(C105) = TRUE, C105*10^C108*1000/C109, "N/A")</f>
        <v>432000000</v>
      </c>
      <c r="E105" s="10">
        <v>23</v>
      </c>
      <c r="F105" s="11">
        <f>IF(ISNUMBER(E105) = TRUE, E105*10^E108*1000/E109, "N/A")</f>
        <v>460000000</v>
      </c>
    </row>
    <row r="106" spans="2:6" x14ac:dyDescent="0.45">
      <c r="B106" s="9" t="s">
        <v>15</v>
      </c>
      <c r="C106" s="10">
        <v>203</v>
      </c>
      <c r="D106" s="11">
        <f>IF(ISNUMBER(C106) = TRUE, C106*10^C108*1000/C109, "N/A")</f>
        <v>406000000</v>
      </c>
      <c r="E106" s="10">
        <v>20</v>
      </c>
      <c r="F106" s="11">
        <f>IF(ISNUMBER(E106) = TRUE, E106*10^E108*1000/E109, "N/A")</f>
        <v>400000000</v>
      </c>
    </row>
    <row r="107" spans="2:6" x14ac:dyDescent="0.45">
      <c r="B107" s="12" t="s">
        <v>16</v>
      </c>
      <c r="C107" s="13">
        <v>231</v>
      </c>
      <c r="D107" s="11">
        <f>IF(ISNUMBER(C107) = TRUE, C107*10^C108*1000/C109, "N/A")</f>
        <v>462000000</v>
      </c>
      <c r="E107" s="13">
        <v>19</v>
      </c>
      <c r="F107" s="11">
        <f>IF(ISNUMBER(E107) = TRUE, E107*10^E108*1000/E109, "N/A")</f>
        <v>380000000</v>
      </c>
    </row>
    <row r="108" spans="2:6" x14ac:dyDescent="0.45">
      <c r="B108" s="14" t="s">
        <v>50</v>
      </c>
      <c r="C108" s="15">
        <v>4</v>
      </c>
      <c r="D108" s="16"/>
      <c r="E108" s="27">
        <v>5</v>
      </c>
      <c r="F108" s="16"/>
    </row>
    <row r="109" spans="2:6" x14ac:dyDescent="0.45">
      <c r="B109" s="12" t="s">
        <v>7</v>
      </c>
      <c r="C109" s="17">
        <v>5</v>
      </c>
      <c r="D109" s="18"/>
      <c r="E109" s="28">
        <v>5</v>
      </c>
      <c r="F109" s="18"/>
    </row>
    <row r="110" spans="2:6" x14ac:dyDescent="0.45">
      <c r="B110" s="9" t="s">
        <v>18</v>
      </c>
      <c r="C110" s="10">
        <f>IF(ISBLANK(E103) = FALSE, (_xlfn.STDEV.P(D103:D107)^2+_xlfn.STDEV.P(F103:F107)^2)^(1/2), _xlfn.STDEV.P(D103:D107))</f>
        <v>38295691.663684569</v>
      </c>
      <c r="D110" s="10" t="s">
        <v>9</v>
      </c>
      <c r="E110" s="19">
        <v>37</v>
      </c>
      <c r="F110" s="20"/>
    </row>
    <row r="111" spans="2:6" x14ac:dyDescent="0.45">
      <c r="B111" s="9" t="s">
        <v>51</v>
      </c>
      <c r="C111" s="10">
        <f>IF(ISBLANK(E103) = FALSE, (AVERAGE(D103:D107)+AVERAGE(F103:F107))/2, AVERAGE(D103:D107))</f>
        <v>434600000</v>
      </c>
      <c r="D111" s="10" t="s">
        <v>10</v>
      </c>
      <c r="E111" s="21">
        <f>E$12+E110/24</f>
        <v>1.8958333333333335</v>
      </c>
      <c r="F111" s="22"/>
    </row>
    <row r="112" spans="2:6" ht="15.4" thickBot="1" x14ac:dyDescent="0.5">
      <c r="B112" s="23" t="s">
        <v>8</v>
      </c>
      <c r="C112" s="24">
        <f>IF(ISNUMBER(C100) = FALSE, C101, C101-0.1)</f>
        <v>4.1000000000000032</v>
      </c>
      <c r="D112" s="24" t="s">
        <v>11</v>
      </c>
      <c r="E112" s="25">
        <f>C111*C112</f>
        <v>1781860000.0000014</v>
      </c>
      <c r="F112" s="26"/>
    </row>
    <row r="113" spans="2:6" x14ac:dyDescent="0.45">
      <c r="B113" s="6">
        <v>11</v>
      </c>
      <c r="C113" s="7" t="s">
        <v>49</v>
      </c>
      <c r="D113" s="8" t="s">
        <v>17</v>
      </c>
      <c r="E113" s="7" t="s">
        <v>49</v>
      </c>
      <c r="F113" s="8" t="s">
        <v>17</v>
      </c>
    </row>
    <row r="114" spans="2:6" x14ac:dyDescent="0.45">
      <c r="B114" s="9" t="s">
        <v>12</v>
      </c>
      <c r="C114" s="10">
        <v>151</v>
      </c>
      <c r="D114" s="11">
        <f>IF(ISNUMBER(C114) = TRUE, C114*10^C119*1000/C120, "N/A")</f>
        <v>302000000</v>
      </c>
      <c r="E114" s="10">
        <v>17</v>
      </c>
      <c r="F114" s="11">
        <f>IF(ISNUMBER(E114) = TRUE, E114*10^E119*1000/E120, "N/A")</f>
        <v>340000000</v>
      </c>
    </row>
    <row r="115" spans="2:6" x14ac:dyDescent="0.45">
      <c r="B115" s="9" t="s">
        <v>13</v>
      </c>
      <c r="C115" s="10" t="s">
        <v>36</v>
      </c>
      <c r="D115" s="11" t="str">
        <f>IF(ISNUMBER(C115) = TRUE, C115*10^C119*1000/C120, "N/A")</f>
        <v>N/A</v>
      </c>
      <c r="E115" s="10" t="s">
        <v>37</v>
      </c>
      <c r="F115" s="11" t="str">
        <f>IF(ISNUMBER(E115) = TRUE, E115*10^E119*1000/E120, "N/A")</f>
        <v>N/A</v>
      </c>
    </row>
    <row r="116" spans="2:6" x14ac:dyDescent="0.45">
      <c r="B116" s="9" t="s">
        <v>14</v>
      </c>
      <c r="C116" s="10">
        <v>164</v>
      </c>
      <c r="D116" s="11">
        <f>IF(ISNUMBER(C116) = TRUE, C116*10^C119*1000/C120, "N/A")</f>
        <v>328000000</v>
      </c>
      <c r="E116" s="10">
        <v>16</v>
      </c>
      <c r="F116" s="11">
        <f>IF(ISNUMBER(E116) = TRUE, E116*10^E119*1000/E120, "N/A")</f>
        <v>320000000</v>
      </c>
    </row>
    <row r="117" spans="2:6" x14ac:dyDescent="0.45">
      <c r="B117" s="9" t="s">
        <v>15</v>
      </c>
      <c r="C117" s="10">
        <v>183</v>
      </c>
      <c r="D117" s="11">
        <f>IF(ISNUMBER(C117) = TRUE, C117*10^C119*1000/C120, "N/A")</f>
        <v>366000000</v>
      </c>
      <c r="E117" s="10" t="s">
        <v>38</v>
      </c>
      <c r="F117" s="11" t="str">
        <f>IF(ISNUMBER(E117) = TRUE, E117*10^E119*1000/E120, "N/A")</f>
        <v>N/A</v>
      </c>
    </row>
    <row r="118" spans="2:6" x14ac:dyDescent="0.45">
      <c r="B118" s="12" t="s">
        <v>16</v>
      </c>
      <c r="C118" s="13">
        <v>152</v>
      </c>
      <c r="D118" s="11">
        <f>IF(ISNUMBER(C118) = TRUE, C118*10^C119*1000/C120, "N/A")</f>
        <v>304000000</v>
      </c>
      <c r="E118" s="13">
        <v>17</v>
      </c>
      <c r="F118" s="11">
        <f>IF(ISNUMBER(E118) = TRUE, E118*10^E119*1000/E120, "N/A")</f>
        <v>340000000</v>
      </c>
    </row>
    <row r="119" spans="2:6" x14ac:dyDescent="0.45">
      <c r="B119" s="14" t="s">
        <v>50</v>
      </c>
      <c r="C119" s="15">
        <v>4</v>
      </c>
      <c r="D119" s="16"/>
      <c r="E119" s="27">
        <v>5</v>
      </c>
      <c r="F119" s="16"/>
    </row>
    <row r="120" spans="2:6" x14ac:dyDescent="0.45">
      <c r="B120" s="12" t="s">
        <v>7</v>
      </c>
      <c r="C120" s="17">
        <v>5</v>
      </c>
      <c r="D120" s="18"/>
      <c r="E120" s="28">
        <v>5</v>
      </c>
      <c r="F120" s="18"/>
    </row>
    <row r="121" spans="2:6" x14ac:dyDescent="0.45">
      <c r="B121" s="9" t="s">
        <v>18</v>
      </c>
      <c r="C121" s="10">
        <f>IF(ISBLANK(E114) = FALSE, (_xlfn.STDEV.P(D114:D118)^2+_xlfn.STDEV.P(F114:F118)^2)^(1/2), _xlfn.STDEV.P(D114:D118))</f>
        <v>27457037.146948118</v>
      </c>
      <c r="D121" s="10" t="s">
        <v>9</v>
      </c>
      <c r="E121" s="19">
        <f>E110+3</f>
        <v>40</v>
      </c>
      <c r="F121" s="20"/>
    </row>
    <row r="122" spans="2:6" x14ac:dyDescent="0.45">
      <c r="B122" s="9" t="s">
        <v>51</v>
      </c>
      <c r="C122" s="10">
        <f>IF(ISBLANK(E114) = FALSE, (AVERAGE(D114:D118)+AVERAGE(F114:F118))/2, AVERAGE(D114:D118))</f>
        <v>329166666.66666663</v>
      </c>
      <c r="D122" s="10" t="s">
        <v>10</v>
      </c>
      <c r="E122" s="21">
        <f>E$12+E121/24</f>
        <v>2.0208333333333335</v>
      </c>
      <c r="F122" s="22"/>
    </row>
    <row r="123" spans="2:6" ht="15.4" thickBot="1" x14ac:dyDescent="0.5">
      <c r="B123" s="23" t="s">
        <v>8</v>
      </c>
      <c r="C123" s="24">
        <f>IF(ISNUMBER(C111) = FALSE, C112, C112-0.1)</f>
        <v>4.0000000000000036</v>
      </c>
      <c r="D123" s="24" t="s">
        <v>11</v>
      </c>
      <c r="E123" s="25">
        <f>C122*C123</f>
        <v>1316666666.6666677</v>
      </c>
      <c r="F123" s="26"/>
    </row>
    <row r="124" spans="2:6" x14ac:dyDescent="0.45">
      <c r="B124" s="6">
        <v>12</v>
      </c>
      <c r="C124" s="7" t="s">
        <v>49</v>
      </c>
      <c r="D124" s="8" t="s">
        <v>17</v>
      </c>
      <c r="E124" s="7" t="s">
        <v>49</v>
      </c>
      <c r="F124" s="8" t="s">
        <v>17</v>
      </c>
    </row>
    <row r="125" spans="2:6" x14ac:dyDescent="0.45">
      <c r="B125" s="9" t="s">
        <v>12</v>
      </c>
      <c r="C125" s="10">
        <v>143</v>
      </c>
      <c r="D125" s="11">
        <f>IF(ISNUMBER(C125) = TRUE, C125*10^C130*1000/C131, "N/A")</f>
        <v>286000000</v>
      </c>
      <c r="E125" s="10" t="s">
        <v>30</v>
      </c>
      <c r="F125" s="11" t="str">
        <f>IF(ISNUMBER(E125) = TRUE, E125*10^E130*1000/E131, "N/A")</f>
        <v>N/A</v>
      </c>
    </row>
    <row r="126" spans="2:6" x14ac:dyDescent="0.45">
      <c r="B126" s="9" t="s">
        <v>13</v>
      </c>
      <c r="C126" s="10">
        <v>123</v>
      </c>
      <c r="D126" s="11">
        <f>IF(ISNUMBER(C126) = TRUE, C126*10^C130*1000/C131, "N/A")</f>
        <v>246000000</v>
      </c>
      <c r="E126" s="10">
        <v>11</v>
      </c>
      <c r="F126" s="11">
        <f>IF(ISNUMBER(E126) = TRUE, E126*10^E130*1000/E131, "N/A")</f>
        <v>220000000</v>
      </c>
    </row>
    <row r="127" spans="2:6" x14ac:dyDescent="0.45">
      <c r="B127" s="9" t="s">
        <v>14</v>
      </c>
      <c r="C127" s="10">
        <v>136</v>
      </c>
      <c r="D127" s="11">
        <f>IF(ISNUMBER(C127) = TRUE, C127*10^C130*1000/C131, "N/A")</f>
        <v>272000000</v>
      </c>
      <c r="E127" s="10">
        <v>16</v>
      </c>
      <c r="F127" s="11">
        <f>IF(ISNUMBER(E127) = TRUE, E127*10^E130*1000/E131, "N/A")</f>
        <v>320000000</v>
      </c>
    </row>
    <row r="128" spans="2:6" x14ac:dyDescent="0.45">
      <c r="B128" s="9" t="s">
        <v>15</v>
      </c>
      <c r="C128" s="10" t="s">
        <v>39</v>
      </c>
      <c r="D128" s="11" t="str">
        <f>IF(ISNUMBER(C128) = TRUE, C128*10^C130*1000/C131, "N/A")</f>
        <v>N/A</v>
      </c>
      <c r="E128" s="10">
        <v>13</v>
      </c>
      <c r="F128" s="11">
        <f>IF(ISNUMBER(E128) = TRUE, E128*10^E130*1000/E131, "N/A")</f>
        <v>260000000</v>
      </c>
    </row>
    <row r="129" spans="2:6" x14ac:dyDescent="0.45">
      <c r="B129" s="12" t="s">
        <v>16</v>
      </c>
      <c r="C129" s="13">
        <v>141</v>
      </c>
      <c r="D129" s="11">
        <f>IF(ISNUMBER(C129) = TRUE, C129*10^C130*1000/C131, "N/A")</f>
        <v>282000000</v>
      </c>
      <c r="E129" s="13" t="s">
        <v>40</v>
      </c>
      <c r="F129" s="11" t="str">
        <f>IF(ISNUMBER(E129) = TRUE, E129*10^E130*1000/E131, "N/A")</f>
        <v>N/A</v>
      </c>
    </row>
    <row r="130" spans="2:6" x14ac:dyDescent="0.45">
      <c r="B130" s="14" t="s">
        <v>50</v>
      </c>
      <c r="C130" s="15">
        <v>4</v>
      </c>
      <c r="D130" s="16"/>
      <c r="E130" s="27">
        <v>5</v>
      </c>
      <c r="F130" s="16"/>
    </row>
    <row r="131" spans="2:6" x14ac:dyDescent="0.45">
      <c r="B131" s="12" t="s">
        <v>7</v>
      </c>
      <c r="C131" s="17">
        <v>5</v>
      </c>
      <c r="D131" s="18"/>
      <c r="E131" s="28">
        <v>5</v>
      </c>
      <c r="F131" s="18"/>
    </row>
    <row r="132" spans="2:6" x14ac:dyDescent="0.45">
      <c r="B132" s="9" t="s">
        <v>18</v>
      </c>
      <c r="C132" s="10">
        <f>IF(ISBLANK(E125) = FALSE, (_xlfn.STDEV.P(D125:D129)^2+_xlfn.STDEV.P(F125:F129)^2)^(1/2), _xlfn.STDEV.P(D125:D129))</f>
        <v>43950413.978583738</v>
      </c>
      <c r="D132" s="10" t="s">
        <v>9</v>
      </c>
      <c r="E132" s="19">
        <f>E121+3</f>
        <v>43</v>
      </c>
      <c r="F132" s="20"/>
    </row>
    <row r="133" spans="2:6" x14ac:dyDescent="0.45">
      <c r="B133" s="9" t="s">
        <v>51</v>
      </c>
      <c r="C133" s="10">
        <f>IF(ISBLANK(E125) = FALSE, (AVERAGE(D125:D129)+AVERAGE(F125:F129))/2, AVERAGE(D125:D129))</f>
        <v>269083333.33333331</v>
      </c>
      <c r="D133" s="10" t="s">
        <v>10</v>
      </c>
      <c r="E133" s="21">
        <f>E$12+E132/24</f>
        <v>2.1458333333333335</v>
      </c>
      <c r="F133" s="22"/>
    </row>
    <row r="134" spans="2:6" ht="15.4" thickBot="1" x14ac:dyDescent="0.5">
      <c r="B134" s="23" t="s">
        <v>8</v>
      </c>
      <c r="C134" s="24">
        <f>IF(ISNUMBER(C122) = FALSE, C123, C123-0.1)</f>
        <v>3.9000000000000035</v>
      </c>
      <c r="D134" s="24" t="s">
        <v>11</v>
      </c>
      <c r="E134" s="25">
        <f>C133*C134</f>
        <v>1049425000.0000008</v>
      </c>
      <c r="F134" s="26"/>
    </row>
    <row r="135" spans="2:6" x14ac:dyDescent="0.45">
      <c r="B135" s="6">
        <v>13</v>
      </c>
      <c r="C135" s="7" t="s">
        <v>49</v>
      </c>
      <c r="D135" s="8" t="s">
        <v>17</v>
      </c>
      <c r="E135" s="7" t="s">
        <v>49</v>
      </c>
      <c r="F135" s="8" t="s">
        <v>17</v>
      </c>
    </row>
    <row r="136" spans="2:6" x14ac:dyDescent="0.45">
      <c r="B136" s="9" t="s">
        <v>12</v>
      </c>
      <c r="C136" s="10">
        <v>134</v>
      </c>
      <c r="D136" s="11">
        <f>IF(ISNUMBER(C136) = TRUE, C136*10^C141*1000/C142, "N/A")</f>
        <v>268000000</v>
      </c>
      <c r="E136" s="10" t="s">
        <v>41</v>
      </c>
      <c r="F136" s="11" t="str">
        <f>IF(ISNUMBER(E136) = TRUE, E136*10^E141*1000/E142, "N/A")</f>
        <v>N/A</v>
      </c>
    </row>
    <row r="137" spans="2:6" x14ac:dyDescent="0.45">
      <c r="B137" s="9" t="s">
        <v>13</v>
      </c>
      <c r="C137" s="10">
        <v>196</v>
      </c>
      <c r="D137" s="11">
        <f>IF(ISNUMBER(C137) = TRUE, C137*10^C141*1000/C142, "N/A")</f>
        <v>392000000</v>
      </c>
      <c r="E137" s="10">
        <v>18</v>
      </c>
      <c r="F137" s="11">
        <f>IF(ISNUMBER(E137) = TRUE, E137*10^E141*1000/E142, "N/A")</f>
        <v>360000000</v>
      </c>
    </row>
    <row r="138" spans="2:6" x14ac:dyDescent="0.45">
      <c r="B138" s="9" t="s">
        <v>14</v>
      </c>
      <c r="C138" s="10">
        <v>178</v>
      </c>
      <c r="D138" s="11">
        <f>IF(ISNUMBER(C138) = TRUE, C138*10^C141*1000/C142, "N/A")</f>
        <v>356000000</v>
      </c>
      <c r="E138" s="10">
        <v>20</v>
      </c>
      <c r="F138" s="11">
        <f>IF(ISNUMBER(E138) = TRUE, E138*10^E141*1000/E142, "N/A")</f>
        <v>400000000</v>
      </c>
    </row>
    <row r="139" spans="2:6" x14ac:dyDescent="0.45">
      <c r="B139" s="9" t="s">
        <v>15</v>
      </c>
      <c r="C139" s="10" t="s">
        <v>42</v>
      </c>
      <c r="D139" s="11" t="str">
        <f>IF(ISNUMBER(C139) = TRUE, C139*10^C141*1000/C142, "N/A")</f>
        <v>N/A</v>
      </c>
      <c r="E139" s="10">
        <v>16</v>
      </c>
      <c r="F139" s="11">
        <f>IF(ISNUMBER(E139) = TRUE, E139*10^E141*1000/E142, "N/A")</f>
        <v>320000000</v>
      </c>
    </row>
    <row r="140" spans="2:6" x14ac:dyDescent="0.45">
      <c r="B140" s="12" t="s">
        <v>16</v>
      </c>
      <c r="C140" s="13">
        <v>229</v>
      </c>
      <c r="D140" s="11">
        <f>IF(ISNUMBER(C140) = TRUE, C140*10^C141*1000/C142, "N/A")</f>
        <v>458000000</v>
      </c>
      <c r="E140" s="13" t="s">
        <v>43</v>
      </c>
      <c r="F140" s="11" t="str">
        <f>IF(ISNUMBER(E140) = TRUE, E140*10^E141*1000/E142, "N/A")</f>
        <v>N/A</v>
      </c>
    </row>
    <row r="141" spans="2:6" x14ac:dyDescent="0.45">
      <c r="B141" s="14" t="s">
        <v>50</v>
      </c>
      <c r="C141" s="15">
        <v>4</v>
      </c>
      <c r="D141" s="16"/>
      <c r="E141" s="27">
        <v>5</v>
      </c>
      <c r="F141" s="16"/>
    </row>
    <row r="142" spans="2:6" x14ac:dyDescent="0.45">
      <c r="B142" s="12" t="s">
        <v>7</v>
      </c>
      <c r="C142" s="17">
        <v>5</v>
      </c>
      <c r="D142" s="18"/>
      <c r="E142" s="28">
        <v>5</v>
      </c>
      <c r="F142" s="18"/>
    </row>
    <row r="143" spans="2:6" x14ac:dyDescent="0.45">
      <c r="B143" s="9" t="s">
        <v>18</v>
      </c>
      <c r="C143" s="10">
        <f>IF(ISBLANK(E136) = FALSE, (_xlfn.STDEV.P(D136:D140)^2+_xlfn.STDEV.P(F136:F140)^2)^(1/2), _xlfn.STDEV.P(D136:D140))</f>
        <v>75969840.507050335</v>
      </c>
      <c r="D143" s="10" t="s">
        <v>9</v>
      </c>
      <c r="E143" s="19">
        <f>E132+3</f>
        <v>46</v>
      </c>
      <c r="F143" s="20"/>
    </row>
    <row r="144" spans="2:6" x14ac:dyDescent="0.45">
      <c r="B144" s="9" t="s">
        <v>51</v>
      </c>
      <c r="C144" s="10">
        <f>IF(ISBLANK(E136) = FALSE, (AVERAGE(D136:D140)+AVERAGE(F136:F140))/2, AVERAGE(D136:D140))</f>
        <v>364250000</v>
      </c>
      <c r="D144" s="10" t="s">
        <v>10</v>
      </c>
      <c r="E144" s="21">
        <f>E$12+E143/24</f>
        <v>2.2708333333333335</v>
      </c>
      <c r="F144" s="22"/>
    </row>
    <row r="145" spans="2:6" ht="15.4" thickBot="1" x14ac:dyDescent="0.5">
      <c r="B145" s="23" t="s">
        <v>8</v>
      </c>
      <c r="C145" s="24">
        <f>IF(ISNUMBER(C133) = FALSE, C134, C134-0.1)</f>
        <v>3.8000000000000034</v>
      </c>
      <c r="D145" s="24" t="s">
        <v>11</v>
      </c>
      <c r="E145" s="25">
        <f>C144*C145</f>
        <v>1384150000.0000012</v>
      </c>
      <c r="F145" s="26"/>
    </row>
    <row r="146" spans="2:6" x14ac:dyDescent="0.45">
      <c r="B146" s="6">
        <v>14</v>
      </c>
      <c r="C146" s="7" t="s">
        <v>49</v>
      </c>
      <c r="D146" s="8" t="s">
        <v>17</v>
      </c>
      <c r="E146" s="7" t="s">
        <v>49</v>
      </c>
      <c r="F146" s="8" t="s">
        <v>17</v>
      </c>
    </row>
    <row r="147" spans="2:6" x14ac:dyDescent="0.45">
      <c r="B147" s="9" t="s">
        <v>12</v>
      </c>
      <c r="C147" s="10">
        <v>147</v>
      </c>
      <c r="D147" s="11">
        <f>IF(ISNUMBER(C147) = TRUE, C147*10^C152*1000/C153, "N/A")</f>
        <v>294000000</v>
      </c>
      <c r="E147" s="10">
        <v>17</v>
      </c>
      <c r="F147" s="11">
        <f>IF(ISNUMBER(E147) = TRUE, E147*10^E152*1000/E153, "N/A")</f>
        <v>340000000</v>
      </c>
    </row>
    <row r="148" spans="2:6" x14ac:dyDescent="0.45">
      <c r="B148" s="9" t="s">
        <v>13</v>
      </c>
      <c r="C148" s="10" t="s">
        <v>44</v>
      </c>
      <c r="D148" s="11" t="str">
        <f>IF(ISNUMBER(C148) = TRUE, C148*10^C152*1000/C153, "N/A")</f>
        <v>N/A</v>
      </c>
      <c r="E148" s="10">
        <v>13</v>
      </c>
      <c r="F148" s="11">
        <f>IF(ISNUMBER(E148) = TRUE, E148*10^E152*1000/E153, "N/A")</f>
        <v>260000000</v>
      </c>
    </row>
    <row r="149" spans="2:6" x14ac:dyDescent="0.45">
      <c r="B149" s="9" t="s">
        <v>14</v>
      </c>
      <c r="C149" s="10">
        <v>161</v>
      </c>
      <c r="D149" s="11">
        <f>IF(ISNUMBER(C149) = TRUE, C149*10^C152*1000/C153, "N/A")</f>
        <v>322000000</v>
      </c>
      <c r="E149" s="10" t="s">
        <v>45</v>
      </c>
      <c r="F149" s="11" t="str">
        <f>IF(ISNUMBER(E149) = TRUE, E149*10^E152*1000/E153, "N/A")</f>
        <v>N/A</v>
      </c>
    </row>
    <row r="150" spans="2:6" x14ac:dyDescent="0.45">
      <c r="B150" s="9" t="s">
        <v>15</v>
      </c>
      <c r="C150" s="10">
        <v>133</v>
      </c>
      <c r="D150" s="11">
        <f>IF(ISNUMBER(C150) = TRUE, C150*10^C152*1000/C153, "N/A")</f>
        <v>266000000</v>
      </c>
      <c r="E150" s="10" t="s">
        <v>46</v>
      </c>
      <c r="F150" s="11" t="str">
        <f>IF(ISNUMBER(E150) = TRUE, E150*10^E152*1000/E153, "N/A")</f>
        <v>N/A</v>
      </c>
    </row>
    <row r="151" spans="2:6" x14ac:dyDescent="0.45">
      <c r="B151" s="12" t="s">
        <v>16</v>
      </c>
      <c r="C151" s="13">
        <v>151</v>
      </c>
      <c r="D151" s="11">
        <f>IF(ISNUMBER(C151) = TRUE, C151*10^C152*1000/C153, "N/A")</f>
        <v>302000000</v>
      </c>
      <c r="E151" s="13">
        <v>12</v>
      </c>
      <c r="F151" s="11">
        <f>IF(ISNUMBER(E151) = TRUE, E151*10^E152*1000/E153, "N/A")</f>
        <v>240000000</v>
      </c>
    </row>
    <row r="152" spans="2:6" x14ac:dyDescent="0.45">
      <c r="B152" s="14" t="s">
        <v>50</v>
      </c>
      <c r="C152" s="15">
        <v>4</v>
      </c>
      <c r="D152" s="16"/>
      <c r="E152" s="27">
        <v>5</v>
      </c>
      <c r="F152" s="16"/>
    </row>
    <row r="153" spans="2:6" x14ac:dyDescent="0.45">
      <c r="B153" s="12" t="s">
        <v>7</v>
      </c>
      <c r="C153" s="17">
        <v>5</v>
      </c>
      <c r="D153" s="18"/>
      <c r="E153" s="28">
        <v>5</v>
      </c>
      <c r="F153" s="18"/>
    </row>
    <row r="154" spans="2:6" x14ac:dyDescent="0.45">
      <c r="B154" s="9" t="s">
        <v>18</v>
      </c>
      <c r="C154" s="10">
        <f>IF(ISBLANK(E147) = FALSE, (_xlfn.STDEV.P(D147:D151)^2+_xlfn.STDEV.P(F147:F151)^2)^(1/2), _xlfn.STDEV.P(D147:D151))</f>
        <v>47651512.742689155</v>
      </c>
      <c r="D154" s="10" t="s">
        <v>9</v>
      </c>
      <c r="E154" s="19">
        <f>E143+3</f>
        <v>49</v>
      </c>
      <c r="F154" s="20"/>
    </row>
    <row r="155" spans="2:6" x14ac:dyDescent="0.45">
      <c r="B155" s="9" t="s">
        <v>51</v>
      </c>
      <c r="C155" s="10">
        <f>IF(ISBLANK(E147) = FALSE, (AVERAGE(D147:D151)+AVERAGE(F147:F151))/2, AVERAGE(D147:D151))</f>
        <v>288000000</v>
      </c>
      <c r="D155" s="10" t="s">
        <v>10</v>
      </c>
      <c r="E155" s="21">
        <f>E$12+E154/24</f>
        <v>2.395833333333333</v>
      </c>
      <c r="F155" s="22"/>
    </row>
    <row r="156" spans="2:6" ht="15.4" thickBot="1" x14ac:dyDescent="0.5">
      <c r="B156" s="23" t="s">
        <v>8</v>
      </c>
      <c r="C156" s="24">
        <f>IF(ISNUMBER(C144) = FALSE, C145, C145-0.1)</f>
        <v>3.7000000000000033</v>
      </c>
      <c r="D156" s="24" t="s">
        <v>11</v>
      </c>
      <c r="E156" s="25">
        <f>C155*C156</f>
        <v>1065600000.000001</v>
      </c>
      <c r="F156" s="26"/>
    </row>
    <row r="157" spans="2:6" x14ac:dyDescent="0.45">
      <c r="B157" s="6">
        <v>15</v>
      </c>
      <c r="C157" s="7" t="s">
        <v>49</v>
      </c>
      <c r="D157" s="8" t="s">
        <v>17</v>
      </c>
      <c r="E157" s="7" t="s">
        <v>49</v>
      </c>
      <c r="F157" s="8" t="s">
        <v>17</v>
      </c>
    </row>
    <row r="158" spans="2:6" x14ac:dyDescent="0.45">
      <c r="B158" s="9" t="s">
        <v>12</v>
      </c>
      <c r="C158" s="10">
        <v>157</v>
      </c>
      <c r="D158" s="11">
        <f>IF(ISNUMBER(C158) = TRUE, C158*10^C163*1000/C164, "N/A")</f>
        <v>314000000</v>
      </c>
      <c r="E158" s="10" t="s">
        <v>43</v>
      </c>
      <c r="F158" s="11" t="str">
        <f>IF(ISNUMBER(E158) = TRUE, E158*10^E163*1000/E164, "N/A")</f>
        <v>N/A</v>
      </c>
    </row>
    <row r="159" spans="2:6" x14ac:dyDescent="0.45">
      <c r="B159" s="9" t="s">
        <v>13</v>
      </c>
      <c r="C159" s="10">
        <v>150</v>
      </c>
      <c r="D159" s="11">
        <f>IF(ISNUMBER(C159) = TRUE, C159*10^C163*1000/C164, "N/A")</f>
        <v>300000000</v>
      </c>
      <c r="E159" s="10">
        <v>15</v>
      </c>
      <c r="F159" s="11">
        <f>IF(ISNUMBER(E159) = TRUE, E159*10^E163*1000/E164, "N/A")</f>
        <v>300000000</v>
      </c>
    </row>
    <row r="160" spans="2:6" x14ac:dyDescent="0.45">
      <c r="B160" s="9" t="s">
        <v>14</v>
      </c>
      <c r="C160" s="10">
        <v>183</v>
      </c>
      <c r="D160" s="11">
        <f>IF(ISNUMBER(C160) = TRUE, C160*10^C163*1000/C164, "N/A")</f>
        <v>366000000</v>
      </c>
      <c r="E160" s="10">
        <v>20</v>
      </c>
      <c r="F160" s="11">
        <f>IF(ISNUMBER(E160) = TRUE, E160*10^E163*1000/E164, "N/A")</f>
        <v>400000000</v>
      </c>
    </row>
    <row r="161" spans="2:6" x14ac:dyDescent="0.45">
      <c r="B161" s="9" t="s">
        <v>15</v>
      </c>
      <c r="C161" s="10">
        <v>177</v>
      </c>
      <c r="D161" s="11">
        <f>IF(ISNUMBER(C161) = TRUE, C161*10^C163*1000/C164, "N/A")</f>
        <v>354000000</v>
      </c>
      <c r="E161" s="10">
        <v>18</v>
      </c>
      <c r="F161" s="11">
        <f>IF(ISNUMBER(E161) = TRUE, E161*10^E163*1000/E164, "N/A")</f>
        <v>360000000</v>
      </c>
    </row>
    <row r="162" spans="2:6" x14ac:dyDescent="0.45">
      <c r="B162" s="12" t="s">
        <v>16</v>
      </c>
      <c r="C162" s="13">
        <v>155</v>
      </c>
      <c r="D162" s="11">
        <f>IF(ISNUMBER(C162) = TRUE, C162*10^C163*1000/C164, "N/A")</f>
        <v>310000000</v>
      </c>
      <c r="E162" s="13">
        <v>21</v>
      </c>
      <c r="F162" s="11">
        <f>IF(ISNUMBER(E162) = TRUE, E162*10^E163*1000/E164, "N/A")</f>
        <v>420000000</v>
      </c>
    </row>
    <row r="163" spans="2:6" x14ac:dyDescent="0.45">
      <c r="B163" s="14" t="s">
        <v>50</v>
      </c>
      <c r="C163" s="15">
        <v>4</v>
      </c>
      <c r="D163" s="16"/>
      <c r="E163" s="27">
        <v>5</v>
      </c>
      <c r="F163" s="16"/>
    </row>
    <row r="164" spans="2:6" x14ac:dyDescent="0.45">
      <c r="B164" s="12" t="s">
        <v>7</v>
      </c>
      <c r="C164" s="17">
        <v>5</v>
      </c>
      <c r="D164" s="18"/>
      <c r="E164" s="28">
        <v>5</v>
      </c>
      <c r="F164" s="18"/>
    </row>
    <row r="165" spans="2:6" x14ac:dyDescent="0.45">
      <c r="B165" s="9" t="s">
        <v>18</v>
      </c>
      <c r="C165" s="10">
        <f>IF(ISBLANK(E158) = FALSE, (_xlfn.STDEV.P(D158:D162)^2+_xlfn.STDEV.P(F158:F162)^2)^(1/2), _xlfn.STDEV.P(D158:D162))</f>
        <v>52765140.007395037</v>
      </c>
      <c r="D165" s="10" t="s">
        <v>9</v>
      </c>
      <c r="E165" s="19">
        <v>73.25</v>
      </c>
      <c r="F165" s="20"/>
    </row>
    <row r="166" spans="2:6" x14ac:dyDescent="0.45">
      <c r="B166" s="9" t="s">
        <v>51</v>
      </c>
      <c r="C166" s="10">
        <f>IF(ISBLANK(E158) = FALSE, (AVERAGE(D158:D162)+AVERAGE(F158:F162))/2, AVERAGE(D158:D162))</f>
        <v>349400000</v>
      </c>
      <c r="D166" s="10" t="s">
        <v>10</v>
      </c>
      <c r="E166" s="21">
        <f>E$12+E165/24</f>
        <v>3.40625</v>
      </c>
      <c r="F166" s="22"/>
    </row>
    <row r="167" spans="2:6" ht="15.4" thickBot="1" x14ac:dyDescent="0.5">
      <c r="B167" s="23" t="s">
        <v>8</v>
      </c>
      <c r="C167" s="24">
        <f>IF(ISNUMBER(C155) = FALSE, C156, C156-0.1)</f>
        <v>3.6000000000000032</v>
      </c>
      <c r="D167" s="24" t="s">
        <v>11</v>
      </c>
      <c r="E167" s="25">
        <f>C166*C167</f>
        <v>1257840000.0000012</v>
      </c>
      <c r="F167" s="26"/>
    </row>
    <row r="168" spans="2:6" x14ac:dyDescent="0.45">
      <c r="B168" s="6">
        <v>16</v>
      </c>
      <c r="C168" s="7" t="s">
        <v>49</v>
      </c>
      <c r="D168" s="8" t="s">
        <v>17</v>
      </c>
      <c r="E168" s="7" t="s">
        <v>49</v>
      </c>
      <c r="F168" s="8" t="s">
        <v>17</v>
      </c>
    </row>
    <row r="169" spans="2:6" x14ac:dyDescent="0.45">
      <c r="B169" s="9" t="s">
        <v>12</v>
      </c>
      <c r="C169" s="10">
        <v>43</v>
      </c>
      <c r="D169" s="11">
        <f>IF(ISNUMBER(C169) = TRUE, C169*10^C174*1000/C175, "N/A")</f>
        <v>86000000</v>
      </c>
      <c r="E169" s="10">
        <v>4</v>
      </c>
      <c r="F169" s="11">
        <f>IF(ISNUMBER(E169) = TRUE, E169*10^E174*1000/E175, "N/A")</f>
        <v>80000000</v>
      </c>
    </row>
    <row r="170" spans="2:6" x14ac:dyDescent="0.45">
      <c r="B170" s="9" t="s">
        <v>13</v>
      </c>
      <c r="C170" s="10">
        <v>33</v>
      </c>
      <c r="D170" s="11">
        <f>IF(ISNUMBER(C170) = TRUE, C170*10^C174*1000/C175, "N/A")</f>
        <v>66000000</v>
      </c>
      <c r="E170" s="10">
        <v>3</v>
      </c>
      <c r="F170" s="11">
        <f>IF(ISNUMBER(E170) = TRUE, E170*10^E174*1000/E175, "N/A")</f>
        <v>60000000</v>
      </c>
    </row>
    <row r="171" spans="2:6" x14ac:dyDescent="0.45">
      <c r="B171" s="9" t="s">
        <v>14</v>
      </c>
      <c r="C171" s="10">
        <v>45</v>
      </c>
      <c r="D171" s="11">
        <f>IF(ISNUMBER(C171) = TRUE, C171*10^C174*1000/C175, "N/A")</f>
        <v>90000000</v>
      </c>
      <c r="E171" s="10">
        <v>5</v>
      </c>
      <c r="F171" s="11">
        <f>IF(ISNUMBER(E171) = TRUE, E171*10^E174*1000/E175, "N/A")</f>
        <v>100000000</v>
      </c>
    </row>
    <row r="172" spans="2:6" x14ac:dyDescent="0.45">
      <c r="B172" s="9" t="s">
        <v>15</v>
      </c>
      <c r="C172" s="10" t="s">
        <v>47</v>
      </c>
      <c r="D172" s="11" t="str">
        <f>IF(ISNUMBER(C172) = TRUE, C172*10^C174*1000/C175, "N/A")</f>
        <v>N/A</v>
      </c>
      <c r="E172" s="10" t="s">
        <v>48</v>
      </c>
      <c r="F172" s="11" t="str">
        <f>IF(ISNUMBER(E172) = TRUE, E172*10^E174*1000/E175, "N/A")</f>
        <v>N/A</v>
      </c>
    </row>
    <row r="173" spans="2:6" x14ac:dyDescent="0.45">
      <c r="B173" s="12" t="s">
        <v>16</v>
      </c>
      <c r="C173" s="13">
        <v>45</v>
      </c>
      <c r="D173" s="11">
        <f>IF(ISNUMBER(C173) = TRUE, C173*10^C174*1000/C175, "N/A")</f>
        <v>90000000</v>
      </c>
      <c r="E173" s="13">
        <v>4</v>
      </c>
      <c r="F173" s="11">
        <f>IF(ISNUMBER(E173) = TRUE, E173*10^E174*1000/E175, "N/A")</f>
        <v>80000000</v>
      </c>
    </row>
    <row r="174" spans="2:6" x14ac:dyDescent="0.45">
      <c r="B174" s="29" t="s">
        <v>50</v>
      </c>
      <c r="C174" s="15">
        <v>4</v>
      </c>
      <c r="D174" s="16"/>
      <c r="E174" s="27">
        <v>5</v>
      </c>
      <c r="F174" s="16"/>
    </row>
    <row r="175" spans="2:6" x14ac:dyDescent="0.45">
      <c r="B175" s="12" t="s">
        <v>7</v>
      </c>
      <c r="C175" s="17">
        <v>5</v>
      </c>
      <c r="D175" s="18"/>
      <c r="E175" s="28">
        <v>5</v>
      </c>
      <c r="F175" s="18"/>
    </row>
    <row r="176" spans="2:6" x14ac:dyDescent="0.45">
      <c r="B176" s="9" t="s">
        <v>18</v>
      </c>
      <c r="C176" s="10">
        <f>IF(ISBLANK(E169) = FALSE, (_xlfn.STDEV.P(D169:D173)^2+_xlfn.STDEV.P(F169:F173)^2)^(1/2), _xlfn.STDEV.P(D169:D173))</f>
        <v>17291616.465790581</v>
      </c>
      <c r="D176" s="10" t="s">
        <v>9</v>
      </c>
      <c r="E176" s="19">
        <f>E165+48-1/4</f>
        <v>121</v>
      </c>
      <c r="F176" s="20"/>
    </row>
    <row r="177" spans="2:6" x14ac:dyDescent="0.45">
      <c r="B177" s="9" t="s">
        <v>51</v>
      </c>
      <c r="C177" s="10">
        <f>IF(ISBLANK(E169) = FALSE, (AVERAGE(D169:D173)+AVERAGE(F169:F173))/2, AVERAGE(D169:D173))</f>
        <v>81500000</v>
      </c>
      <c r="D177" s="10" t="s">
        <v>10</v>
      </c>
      <c r="E177" s="21">
        <f>E$12+E176/24</f>
        <v>5.3958333333333339</v>
      </c>
      <c r="F177" s="22"/>
    </row>
    <row r="178" spans="2:6" ht="15.4" thickBot="1" x14ac:dyDescent="0.5">
      <c r="B178" s="23" t="s">
        <v>8</v>
      </c>
      <c r="C178" s="24">
        <f>IF(ISNUMBER(C166) = FALSE, C167, C167-0.1)</f>
        <v>3.5000000000000031</v>
      </c>
      <c r="D178" s="24" t="s">
        <v>11</v>
      </c>
      <c r="E178" s="25">
        <f>C177*C178</f>
        <v>285250000.00000024</v>
      </c>
      <c r="F178" s="26"/>
    </row>
  </sheetData>
  <mergeCells count="112">
    <mergeCell ref="E178:F178"/>
    <mergeCell ref="C175:D175"/>
    <mergeCell ref="E175:F175"/>
    <mergeCell ref="E176:F176"/>
    <mergeCell ref="E177:F177"/>
    <mergeCell ref="E68:F68"/>
    <mergeCell ref="E79:F79"/>
    <mergeCell ref="E90:F90"/>
    <mergeCell ref="E101:F101"/>
    <mergeCell ref="E112:F112"/>
    <mergeCell ref="E123:F123"/>
    <mergeCell ref="C164:D164"/>
    <mergeCell ref="E164:F164"/>
    <mergeCell ref="E165:F165"/>
    <mergeCell ref="E166:F166"/>
    <mergeCell ref="C174:D174"/>
    <mergeCell ref="E174:F174"/>
    <mergeCell ref="E167:F167"/>
    <mergeCell ref="C153:D153"/>
    <mergeCell ref="E153:F153"/>
    <mergeCell ref="E154:F154"/>
    <mergeCell ref="E155:F155"/>
    <mergeCell ref="C163:D163"/>
    <mergeCell ref="E163:F163"/>
    <mergeCell ref="E156:F156"/>
    <mergeCell ref="C142:D142"/>
    <mergeCell ref="E142:F142"/>
    <mergeCell ref="E143:F143"/>
    <mergeCell ref="E144:F144"/>
    <mergeCell ref="C152:D152"/>
    <mergeCell ref="E152:F152"/>
    <mergeCell ref="E145:F145"/>
    <mergeCell ref="C131:D131"/>
    <mergeCell ref="E131:F131"/>
    <mergeCell ref="E132:F132"/>
    <mergeCell ref="E133:F133"/>
    <mergeCell ref="C141:D141"/>
    <mergeCell ref="E141:F141"/>
    <mergeCell ref="E134:F134"/>
    <mergeCell ref="C120:D120"/>
    <mergeCell ref="E120:F120"/>
    <mergeCell ref="E121:F121"/>
    <mergeCell ref="E122:F122"/>
    <mergeCell ref="C130:D130"/>
    <mergeCell ref="E130:F130"/>
    <mergeCell ref="C109:D109"/>
    <mergeCell ref="E109:F109"/>
    <mergeCell ref="E110:F110"/>
    <mergeCell ref="E111:F111"/>
    <mergeCell ref="C119:D119"/>
    <mergeCell ref="E119:F119"/>
    <mergeCell ref="C98:D98"/>
    <mergeCell ref="E98:F98"/>
    <mergeCell ref="E99:F99"/>
    <mergeCell ref="E100:F100"/>
    <mergeCell ref="C108:D108"/>
    <mergeCell ref="E108:F108"/>
    <mergeCell ref="C87:D87"/>
    <mergeCell ref="E87:F87"/>
    <mergeCell ref="E88:F88"/>
    <mergeCell ref="E89:F89"/>
    <mergeCell ref="C97:D97"/>
    <mergeCell ref="E97:F97"/>
    <mergeCell ref="C76:D76"/>
    <mergeCell ref="E76:F76"/>
    <mergeCell ref="E77:F77"/>
    <mergeCell ref="E78:F78"/>
    <mergeCell ref="C86:D86"/>
    <mergeCell ref="E86:F86"/>
    <mergeCell ref="C65:D65"/>
    <mergeCell ref="E65:F65"/>
    <mergeCell ref="E66:F66"/>
    <mergeCell ref="E67:F67"/>
    <mergeCell ref="C75:D75"/>
    <mergeCell ref="E75:F75"/>
    <mergeCell ref="C54:D54"/>
    <mergeCell ref="E54:F54"/>
    <mergeCell ref="E55:F55"/>
    <mergeCell ref="E56:F56"/>
    <mergeCell ref="E57:F57"/>
    <mergeCell ref="C64:D64"/>
    <mergeCell ref="E64:F64"/>
    <mergeCell ref="C43:D43"/>
    <mergeCell ref="E43:F43"/>
    <mergeCell ref="E44:F44"/>
    <mergeCell ref="E45:F45"/>
    <mergeCell ref="E46:F46"/>
    <mergeCell ref="C53:D53"/>
    <mergeCell ref="E53:F53"/>
    <mergeCell ref="C32:D32"/>
    <mergeCell ref="E32:F32"/>
    <mergeCell ref="E33:F33"/>
    <mergeCell ref="E34:F34"/>
    <mergeCell ref="E35:F35"/>
    <mergeCell ref="C42:D42"/>
    <mergeCell ref="E42:F42"/>
    <mergeCell ref="C21:D21"/>
    <mergeCell ref="E21:F21"/>
    <mergeCell ref="E23:F23"/>
    <mergeCell ref="E24:F24"/>
    <mergeCell ref="C31:D31"/>
    <mergeCell ref="E31:F31"/>
    <mergeCell ref="E11:F11"/>
    <mergeCell ref="E22:F22"/>
    <mergeCell ref="C9:D9"/>
    <mergeCell ref="E9:F9"/>
    <mergeCell ref="C10:D10"/>
    <mergeCell ref="E10:F10"/>
    <mergeCell ref="E12:F12"/>
    <mergeCell ref="E13:F13"/>
    <mergeCell ref="C20:D20"/>
    <mergeCell ref="E20:F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2026-08-01T09:34:22Z</dcterms:modified>
</cp:coreProperties>
</file>