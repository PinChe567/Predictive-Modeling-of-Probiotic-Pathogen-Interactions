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04C05B8B-9AE9-412F-BE86-93111D76853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" sheetId="1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9" i="2" l="1"/>
  <c r="AJ30" i="2"/>
  <c r="AL26" i="2"/>
  <c r="AL27" i="2"/>
  <c r="AI34" i="2"/>
  <c r="AL30" i="2"/>
  <c r="AL29" i="2"/>
  <c r="AL28" i="2"/>
  <c r="AJ28" i="2"/>
  <c r="AR41" i="2"/>
  <c r="AP41" i="2"/>
  <c r="AL41" i="2"/>
  <c r="AJ41" i="2"/>
  <c r="AF41" i="2"/>
  <c r="AD41" i="2"/>
  <c r="AR40" i="2"/>
  <c r="AP40" i="2"/>
  <c r="AL40" i="2"/>
  <c r="AJ40" i="2"/>
  <c r="AF40" i="2"/>
  <c r="AD40" i="2"/>
  <c r="AR39" i="2"/>
  <c r="AP39" i="2"/>
  <c r="AL39" i="2"/>
  <c r="AJ39" i="2"/>
  <c r="AF39" i="2"/>
  <c r="AD39" i="2"/>
  <c r="AR38" i="2"/>
  <c r="AP38" i="2"/>
  <c r="AL38" i="2"/>
  <c r="AJ38" i="2"/>
  <c r="AF38" i="2"/>
  <c r="AD38" i="2"/>
  <c r="AR37" i="2"/>
  <c r="AP37" i="2"/>
  <c r="AL37" i="2"/>
  <c r="AJ37" i="2"/>
  <c r="AF37" i="2"/>
  <c r="AD37" i="2"/>
  <c r="AC45" i="2" s="1"/>
  <c r="AR30" i="2"/>
  <c r="AP30" i="2"/>
  <c r="AF30" i="2"/>
  <c r="AD30" i="2"/>
  <c r="AR29" i="2"/>
  <c r="AP29" i="2"/>
  <c r="AF29" i="2"/>
  <c r="AD29" i="2"/>
  <c r="AR28" i="2"/>
  <c r="AP28" i="2"/>
  <c r="AF28" i="2"/>
  <c r="AD28" i="2"/>
  <c r="AR27" i="2"/>
  <c r="AP27" i="2"/>
  <c r="AF27" i="2"/>
  <c r="AD27" i="2"/>
  <c r="AR26" i="2"/>
  <c r="AO34" i="2" s="1"/>
  <c r="AP26" i="2"/>
  <c r="AF26" i="2"/>
  <c r="AD26" i="2"/>
  <c r="AC34" i="2" s="1"/>
  <c r="AE23" i="2"/>
  <c r="AC22" i="2"/>
  <c r="AR19" i="2"/>
  <c r="AP19" i="2"/>
  <c r="AL19" i="2"/>
  <c r="AJ19" i="2"/>
  <c r="AF19" i="2"/>
  <c r="AD19" i="2"/>
  <c r="AR18" i="2"/>
  <c r="AP18" i="2"/>
  <c r="AL18" i="2"/>
  <c r="AJ18" i="2"/>
  <c r="AF18" i="2"/>
  <c r="AD18" i="2"/>
  <c r="AR17" i="2"/>
  <c r="AP17" i="2"/>
  <c r="AL17" i="2"/>
  <c r="AJ17" i="2"/>
  <c r="AF17" i="2"/>
  <c r="AD17" i="2"/>
  <c r="AR16" i="2"/>
  <c r="AP16" i="2"/>
  <c r="AL16" i="2"/>
  <c r="AJ16" i="2"/>
  <c r="AF16" i="2"/>
  <c r="AD16" i="2"/>
  <c r="AR15" i="2"/>
  <c r="AP15" i="2"/>
  <c r="AL15" i="2"/>
  <c r="AJ15" i="2"/>
  <c r="AF15" i="2"/>
  <c r="AD15" i="2"/>
  <c r="AC23" i="2" s="1"/>
  <c r="AI12" i="2"/>
  <c r="AE12" i="2"/>
  <c r="AQ11" i="2"/>
  <c r="AK11" i="2"/>
  <c r="AR8" i="2"/>
  <c r="AP8" i="2"/>
  <c r="AL8" i="2"/>
  <c r="AJ8" i="2"/>
  <c r="AF8" i="2"/>
  <c r="AD8" i="2"/>
  <c r="AR7" i="2"/>
  <c r="AP7" i="2"/>
  <c r="AO12" i="2" s="1"/>
  <c r="AL7" i="2"/>
  <c r="AJ7" i="2"/>
  <c r="AF7" i="2"/>
  <c r="AD7" i="2"/>
  <c r="AR6" i="2"/>
  <c r="AP6" i="2"/>
  <c r="AL6" i="2"/>
  <c r="AJ6" i="2"/>
  <c r="AF6" i="2"/>
  <c r="AD6" i="2"/>
  <c r="AR5" i="2"/>
  <c r="AP5" i="2"/>
  <c r="AL5" i="2"/>
  <c r="AJ5" i="2"/>
  <c r="AF5" i="2"/>
  <c r="AD5" i="2"/>
  <c r="AR4" i="2"/>
  <c r="AP4" i="2"/>
  <c r="AO11" i="2" s="1"/>
  <c r="AL4" i="2"/>
  <c r="AJ4" i="2"/>
  <c r="AI11" i="2" s="1"/>
  <c r="AF4" i="2"/>
  <c r="AD4" i="2"/>
  <c r="AC12" i="2" s="1"/>
  <c r="Y74" i="2"/>
  <c r="W74" i="2"/>
  <c r="S74" i="2"/>
  <c r="Q74" i="2"/>
  <c r="M74" i="2"/>
  <c r="K74" i="2"/>
  <c r="Y73" i="2"/>
  <c r="W73" i="2"/>
  <c r="S73" i="2"/>
  <c r="Q73" i="2"/>
  <c r="M73" i="2"/>
  <c r="K73" i="2"/>
  <c r="Y72" i="2"/>
  <c r="W72" i="2"/>
  <c r="S72" i="2"/>
  <c r="Q72" i="2"/>
  <c r="M72" i="2"/>
  <c r="K72" i="2"/>
  <c r="Y71" i="2"/>
  <c r="W71" i="2"/>
  <c r="S71" i="2"/>
  <c r="Q71" i="2"/>
  <c r="M71" i="2"/>
  <c r="K71" i="2"/>
  <c r="Y70" i="2"/>
  <c r="W70" i="2"/>
  <c r="S70" i="2"/>
  <c r="Q70" i="2"/>
  <c r="M70" i="2"/>
  <c r="K70" i="2"/>
  <c r="L67" i="2"/>
  <c r="Y63" i="2"/>
  <c r="W63" i="2"/>
  <c r="S63" i="2"/>
  <c r="Q63" i="2"/>
  <c r="M63" i="2"/>
  <c r="K63" i="2"/>
  <c r="Y62" i="2"/>
  <c r="W62" i="2"/>
  <c r="S62" i="2"/>
  <c r="Q62" i="2"/>
  <c r="M62" i="2"/>
  <c r="K62" i="2"/>
  <c r="Y61" i="2"/>
  <c r="W61" i="2"/>
  <c r="S61" i="2"/>
  <c r="Q61" i="2"/>
  <c r="M61" i="2"/>
  <c r="K61" i="2"/>
  <c r="Y60" i="2"/>
  <c r="W60" i="2"/>
  <c r="S60" i="2"/>
  <c r="Q60" i="2"/>
  <c r="M60" i="2"/>
  <c r="K60" i="2"/>
  <c r="Y59" i="2"/>
  <c r="W59" i="2"/>
  <c r="S59" i="2"/>
  <c r="Q59" i="2"/>
  <c r="M59" i="2"/>
  <c r="K59" i="2"/>
  <c r="L56" i="2"/>
  <c r="Y52" i="2"/>
  <c r="W52" i="2"/>
  <c r="S52" i="2"/>
  <c r="Q52" i="2"/>
  <c r="M52" i="2"/>
  <c r="K52" i="2"/>
  <c r="Y51" i="2"/>
  <c r="W51" i="2"/>
  <c r="S51" i="2"/>
  <c r="Q51" i="2"/>
  <c r="M51" i="2"/>
  <c r="K51" i="2"/>
  <c r="Y50" i="2"/>
  <c r="W50" i="2"/>
  <c r="S50" i="2"/>
  <c r="Q50" i="2"/>
  <c r="M50" i="2"/>
  <c r="K50" i="2"/>
  <c r="Y49" i="2"/>
  <c r="W49" i="2"/>
  <c r="S49" i="2"/>
  <c r="Q49" i="2"/>
  <c r="M49" i="2"/>
  <c r="K49" i="2"/>
  <c r="Y48" i="2"/>
  <c r="W48" i="2"/>
  <c r="S48" i="2"/>
  <c r="Q48" i="2"/>
  <c r="M48" i="2"/>
  <c r="K48" i="2"/>
  <c r="Y41" i="2"/>
  <c r="W41" i="2"/>
  <c r="S41" i="2"/>
  <c r="Q41" i="2"/>
  <c r="M41" i="2"/>
  <c r="K41" i="2"/>
  <c r="Y40" i="2"/>
  <c r="W40" i="2"/>
  <c r="S40" i="2"/>
  <c r="Q40" i="2"/>
  <c r="M40" i="2"/>
  <c r="K40" i="2"/>
  <c r="Y39" i="2"/>
  <c r="W39" i="2"/>
  <c r="S39" i="2"/>
  <c r="Q39" i="2"/>
  <c r="M39" i="2"/>
  <c r="K39" i="2"/>
  <c r="Y38" i="2"/>
  <c r="W38" i="2"/>
  <c r="S38" i="2"/>
  <c r="Q38" i="2"/>
  <c r="M38" i="2"/>
  <c r="K38" i="2"/>
  <c r="Y37" i="2"/>
  <c r="W37" i="2"/>
  <c r="S37" i="2"/>
  <c r="Q37" i="2"/>
  <c r="M37" i="2"/>
  <c r="K37" i="2"/>
  <c r="Y30" i="2"/>
  <c r="W30" i="2"/>
  <c r="S30" i="2"/>
  <c r="Q30" i="2"/>
  <c r="M30" i="2"/>
  <c r="K30" i="2"/>
  <c r="Y29" i="2"/>
  <c r="W29" i="2"/>
  <c r="S29" i="2"/>
  <c r="Q29" i="2"/>
  <c r="M29" i="2"/>
  <c r="K29" i="2"/>
  <c r="Y28" i="2"/>
  <c r="W28" i="2"/>
  <c r="S28" i="2"/>
  <c r="Q28" i="2"/>
  <c r="M28" i="2"/>
  <c r="K28" i="2"/>
  <c r="Y27" i="2"/>
  <c r="W27" i="2"/>
  <c r="V33" i="2" s="1"/>
  <c r="S27" i="2"/>
  <c r="Q27" i="2"/>
  <c r="M27" i="2"/>
  <c r="K27" i="2"/>
  <c r="Y26" i="2"/>
  <c r="W26" i="2"/>
  <c r="S26" i="2"/>
  <c r="Q26" i="2"/>
  <c r="M26" i="2"/>
  <c r="K26" i="2"/>
  <c r="J34" i="2" s="1"/>
  <c r="L23" i="2"/>
  <c r="Y19" i="2"/>
  <c r="W19" i="2"/>
  <c r="S19" i="2"/>
  <c r="Q19" i="2"/>
  <c r="M19" i="2"/>
  <c r="K19" i="2"/>
  <c r="Y18" i="2"/>
  <c r="W18" i="2"/>
  <c r="S18" i="2"/>
  <c r="Q18" i="2"/>
  <c r="M18" i="2"/>
  <c r="K18" i="2"/>
  <c r="Y17" i="2"/>
  <c r="W17" i="2"/>
  <c r="S17" i="2"/>
  <c r="Q17" i="2"/>
  <c r="M17" i="2"/>
  <c r="K17" i="2"/>
  <c r="Y16" i="2"/>
  <c r="W16" i="2"/>
  <c r="S16" i="2"/>
  <c r="Q16" i="2"/>
  <c r="M16" i="2"/>
  <c r="K16" i="2"/>
  <c r="Y15" i="2"/>
  <c r="W15" i="2"/>
  <c r="S15" i="2"/>
  <c r="Q15" i="2"/>
  <c r="M15" i="2"/>
  <c r="K15" i="2"/>
  <c r="L12" i="2"/>
  <c r="X11" i="2"/>
  <c r="R11" i="2"/>
  <c r="Y8" i="2"/>
  <c r="W8" i="2"/>
  <c r="S8" i="2"/>
  <c r="Q8" i="2"/>
  <c r="M8" i="2"/>
  <c r="K8" i="2"/>
  <c r="Y7" i="2"/>
  <c r="W7" i="2"/>
  <c r="S7" i="2"/>
  <c r="Q7" i="2"/>
  <c r="M7" i="2"/>
  <c r="K7" i="2"/>
  <c r="Y6" i="2"/>
  <c r="W6" i="2"/>
  <c r="S6" i="2"/>
  <c r="Q6" i="2"/>
  <c r="M6" i="2"/>
  <c r="K6" i="2"/>
  <c r="Y5" i="2"/>
  <c r="W5" i="2"/>
  <c r="S5" i="2"/>
  <c r="Q5" i="2"/>
  <c r="M5" i="2"/>
  <c r="K5" i="2"/>
  <c r="Y4" i="2"/>
  <c r="W4" i="2"/>
  <c r="S4" i="2"/>
  <c r="Q4" i="2"/>
  <c r="M4" i="2"/>
  <c r="K4" i="2"/>
  <c r="F63" i="2"/>
  <c r="D63" i="2"/>
  <c r="F62" i="2"/>
  <c r="D62" i="2"/>
  <c r="F61" i="2"/>
  <c r="D61" i="2"/>
  <c r="F60" i="2"/>
  <c r="D60" i="2"/>
  <c r="F59" i="2"/>
  <c r="D59" i="2"/>
  <c r="F52" i="2"/>
  <c r="D52" i="2"/>
  <c r="F51" i="2"/>
  <c r="D51" i="2"/>
  <c r="F50" i="2"/>
  <c r="D50" i="2"/>
  <c r="F49" i="2"/>
  <c r="D49" i="2"/>
  <c r="F48" i="2"/>
  <c r="D48" i="2"/>
  <c r="F41" i="2"/>
  <c r="D41" i="2"/>
  <c r="F40" i="2"/>
  <c r="D40" i="2"/>
  <c r="F39" i="2"/>
  <c r="D39" i="2"/>
  <c r="F38" i="2"/>
  <c r="D38" i="2"/>
  <c r="F37" i="2"/>
  <c r="D37" i="2"/>
  <c r="F30" i="2"/>
  <c r="D30" i="2"/>
  <c r="F29" i="2"/>
  <c r="D29" i="2"/>
  <c r="F28" i="2"/>
  <c r="D28" i="2"/>
  <c r="F27" i="2"/>
  <c r="D27" i="2"/>
  <c r="F26" i="2"/>
  <c r="D26" i="2"/>
  <c r="F19" i="2"/>
  <c r="D19" i="2"/>
  <c r="F18" i="2"/>
  <c r="D18" i="2"/>
  <c r="F17" i="2"/>
  <c r="D17" i="2"/>
  <c r="F16" i="2"/>
  <c r="D16" i="2"/>
  <c r="F15" i="2"/>
  <c r="D15" i="2"/>
  <c r="E12" i="2"/>
  <c r="F8" i="2"/>
  <c r="D8" i="2"/>
  <c r="F7" i="2"/>
  <c r="D7" i="2"/>
  <c r="F6" i="2"/>
  <c r="D6" i="2"/>
  <c r="F5" i="2"/>
  <c r="D5" i="2"/>
  <c r="F4" i="2"/>
  <c r="D4" i="2"/>
  <c r="AO45" i="2" l="1"/>
  <c r="AO23" i="2"/>
  <c r="AI23" i="2"/>
  <c r="AI33" i="2"/>
  <c r="AI45" i="2"/>
  <c r="AI22" i="2"/>
  <c r="AO22" i="2"/>
  <c r="AC33" i="2"/>
  <c r="AO33" i="2"/>
  <c r="AC11" i="2"/>
  <c r="AC44" i="2"/>
  <c r="AI44" i="2"/>
  <c r="AO44" i="2"/>
  <c r="V45" i="2"/>
  <c r="V78" i="2"/>
  <c r="P56" i="2"/>
  <c r="P44" i="2"/>
  <c r="J55" i="2"/>
  <c r="C11" i="2"/>
  <c r="P55" i="2"/>
  <c r="P67" i="2"/>
  <c r="J78" i="2"/>
  <c r="J22" i="2"/>
  <c r="J56" i="2"/>
  <c r="V55" i="2"/>
  <c r="J67" i="2"/>
  <c r="J45" i="2"/>
  <c r="P78" i="2"/>
  <c r="J23" i="2"/>
  <c r="V22" i="2"/>
  <c r="V56" i="2"/>
  <c r="V67" i="2"/>
  <c r="P12" i="2"/>
  <c r="J12" i="2"/>
  <c r="P34" i="2"/>
  <c r="V44" i="2"/>
  <c r="P23" i="2"/>
  <c r="C55" i="2"/>
  <c r="V11" i="2"/>
  <c r="V34" i="2"/>
  <c r="P22" i="2"/>
  <c r="V23" i="2"/>
  <c r="J11" i="2"/>
  <c r="V66" i="2"/>
  <c r="J66" i="2"/>
  <c r="P66" i="2"/>
  <c r="V12" i="2"/>
  <c r="P45" i="2"/>
  <c r="J33" i="2"/>
  <c r="P33" i="2"/>
  <c r="J77" i="2"/>
  <c r="P77" i="2"/>
  <c r="J44" i="2"/>
  <c r="V77" i="2"/>
  <c r="P11" i="2"/>
  <c r="C67" i="2"/>
  <c r="C45" i="2"/>
  <c r="C34" i="2"/>
  <c r="C23" i="2"/>
  <c r="C12" i="2"/>
  <c r="C56" i="2"/>
  <c r="C44" i="2"/>
  <c r="C33" i="2"/>
  <c r="C22" i="2"/>
  <c r="C66" i="2"/>
</calcChain>
</file>

<file path=xl/sharedStrings.xml><?xml version="1.0" encoding="utf-8"?>
<sst xmlns="http://schemas.openxmlformats.org/spreadsheetml/2006/main" count="627" uniqueCount="30">
  <si>
    <t>AMP to E. coli</t>
    <phoneticPr fontId="1" type="noConversion"/>
  </si>
  <si>
    <t>E. coli (initial OD:1.1)</t>
    <phoneticPr fontId="1" type="noConversion"/>
  </si>
  <si>
    <t>E. coli (initial OD: 1.0, dilute 50000x)</t>
    <phoneticPr fontId="1" type="noConversion"/>
  </si>
  <si>
    <t>2024/9/22-2024/9/24</t>
    <phoneticPr fontId="1" type="noConversion"/>
  </si>
  <si>
    <t>E. coli (initial OD: 0.78, dilute 50000x)</t>
    <phoneticPr fontId="1" type="noConversion"/>
  </si>
  <si>
    <t>AMP (ug/ml)</t>
    <phoneticPr fontId="1" type="noConversion"/>
  </si>
  <si>
    <t>mean bacteria concentration</t>
    <phoneticPr fontId="1" type="noConversion"/>
  </si>
  <si>
    <t>SD</t>
  </si>
  <si>
    <t>AMP 0 ug/ml</t>
    <phoneticPr fontId="1" type="noConversion"/>
  </si>
  <si>
    <t>time (hr)</t>
    <phoneticPr fontId="1" type="noConversion"/>
  </si>
  <si>
    <t>AMP 25 ug/ml</t>
    <phoneticPr fontId="1" type="noConversion"/>
  </si>
  <si>
    <t>AMP 50 ug/ml</t>
    <phoneticPr fontId="1" type="noConversion"/>
  </si>
  <si>
    <t>Temp: 37 celcius</t>
    <phoneticPr fontId="1" type="noConversion"/>
  </si>
  <si>
    <t>SD (CFU)</t>
    <phoneticPr fontId="1" type="noConversion"/>
  </si>
  <si>
    <t>E. coli (initial OD: 1.0，Dilute50000x)</t>
  </si>
  <si>
    <t>E. coli (initial OD: 0.78，Dilute5000x)</t>
  </si>
  <si>
    <t>Time (hr)</t>
  </si>
  <si>
    <t>Dilute (10^n)</t>
  </si>
  <si>
    <t>loading  Volume (λ)</t>
  </si>
  <si>
    <t>mean CFU/mL (mL)</t>
  </si>
  <si>
    <t>AMP conc.</t>
  </si>
  <si>
    <t>CFU/mL</t>
  </si>
  <si>
    <t>CFU count (CFU)</t>
  </si>
  <si>
    <r>
      <t>Temp.: 37</t>
    </r>
    <r>
      <rPr>
        <b/>
        <sz val="11"/>
        <rFont val="Segoe UI Symbol"/>
        <family val="1"/>
      </rPr>
      <t>℃</t>
    </r>
    <phoneticPr fontId="1" type="noConversion"/>
  </si>
  <si>
    <r>
      <t>Temp.: 37</t>
    </r>
    <r>
      <rPr>
        <b/>
        <sz val="11"/>
        <color theme="1"/>
        <rFont val="Segoe UI Symbol"/>
        <family val="1"/>
      </rPr>
      <t>℃</t>
    </r>
    <phoneticPr fontId="1" type="noConversion"/>
  </si>
  <si>
    <t>test 1</t>
  </si>
  <si>
    <t>test 2</t>
  </si>
  <si>
    <t>test 3</t>
  </si>
  <si>
    <t>test 4</t>
  </si>
  <si>
    <t>test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</si>
</sst>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Segoe UI Symbol"/>
      <family val="1"/>
    </font>
    <font>
      <b/>
      <sz val="11"/>
      <name val="Segoe UI Symbol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3" fillId="2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2" fillId="2" borderId="0" xfId="0" applyFont="1" applyFill="1"/>
    <xf numFmtId="14" fontId="2" fillId="2" borderId="0" xfId="0" applyNumberFormat="1" applyFont="1" applyFill="1"/>
    <xf numFmtId="0" fontId="4" fillId="3" borderId="4" xfId="0" applyFont="1" applyFill="1" applyBorder="1"/>
    <xf numFmtId="0" fontId="4" fillId="3" borderId="2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4" borderId="0" xfId="0" applyFont="1" applyFill="1"/>
    <xf numFmtId="0" fontId="4" fillId="4" borderId="7" xfId="0" applyFont="1" applyFill="1" applyBorder="1"/>
    <xf numFmtId="0" fontId="5" fillId="4" borderId="0" xfId="0" applyFont="1" applyFill="1"/>
    <xf numFmtId="0" fontId="4" fillId="3" borderId="8" xfId="0" applyFont="1" applyFill="1" applyBorder="1"/>
    <xf numFmtId="0" fontId="6" fillId="4" borderId="3" xfId="0" applyFont="1" applyFill="1" applyBorder="1"/>
    <xf numFmtId="0" fontId="4" fillId="3" borderId="9" xfId="0" applyFont="1" applyFill="1" applyBorder="1"/>
    <xf numFmtId="0" fontId="4" fillId="3" borderId="0" xfId="0" applyFont="1" applyFill="1"/>
    <xf numFmtId="0" fontId="4" fillId="3" borderId="15" xfId="0" applyFont="1" applyFill="1" applyBorder="1"/>
    <xf numFmtId="0" fontId="5" fillId="4" borderId="1" xfId="0" applyFont="1" applyFill="1" applyBorder="1"/>
    <xf numFmtId="0" fontId="4" fillId="3" borderId="1" xfId="0" applyFont="1" applyFill="1" applyBorder="1"/>
    <xf numFmtId="0" fontId="6" fillId="4" borderId="0" xfId="0" applyFont="1" applyFill="1"/>
    <xf numFmtId="0" fontId="4" fillId="4" borderId="3" xfId="0" applyFont="1" applyFill="1" applyBorder="1"/>
    <xf numFmtId="0" fontId="5" fillId="4" borderId="3" xfId="0" applyFont="1" applyFill="1" applyBorder="1"/>
    <xf numFmtId="0" fontId="4" fillId="4" borderId="1" xfId="0" applyFont="1" applyFill="1" applyBorder="1"/>
    <xf numFmtId="0" fontId="5" fillId="0" borderId="0" xfId="0" applyFont="1"/>
    <xf numFmtId="0" fontId="5" fillId="3" borderId="4" xfId="0" applyFont="1" applyFill="1" applyBorder="1"/>
    <xf numFmtId="0" fontId="5" fillId="3" borderId="2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4" borderId="7" xfId="0" applyFont="1" applyFill="1" applyBorder="1"/>
    <xf numFmtId="0" fontId="5" fillId="3" borderId="8" xfId="0" applyFont="1" applyFill="1" applyBorder="1"/>
    <xf numFmtId="0" fontId="5" fillId="3" borderId="9" xfId="0" applyFont="1" applyFill="1" applyBorder="1"/>
    <xf numFmtId="0" fontId="5" fillId="3" borderId="0" xfId="0" applyFont="1" applyFill="1"/>
    <xf numFmtId="0" fontId="5" fillId="3" borderId="15" xfId="0" applyFont="1" applyFill="1" applyBorder="1"/>
    <xf numFmtId="0" fontId="5" fillId="3" borderId="1" xfId="0" applyFont="1" applyFill="1" applyBorder="1"/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8"/>
  <sheetViews>
    <sheetView zoomScale="70" zoomScaleNormal="70" workbookViewId="0">
      <selection activeCell="F21" sqref="F21"/>
    </sheetView>
  </sheetViews>
  <sheetFormatPr defaultRowHeight="13.9" x14ac:dyDescent="0.4"/>
  <cols>
    <col min="1" max="1" width="9.140625" style="1"/>
    <col min="2" max="2" width="14.85546875" style="1" bestFit="1" customWidth="1"/>
    <col min="3" max="3" width="9.140625" style="1"/>
    <col min="4" max="4" width="23.5703125" style="1" bestFit="1" customWidth="1"/>
    <col min="5" max="5" width="24.35546875" style="1" bestFit="1" customWidth="1"/>
    <col min="6" max="6" width="13" style="1" bestFit="1" customWidth="1"/>
    <col min="7" max="7" width="9.140625" style="1"/>
    <col min="8" max="8" width="41.5703125" style="1" bestFit="1" customWidth="1"/>
    <col min="9" max="9" width="24.35546875" style="1" bestFit="1" customWidth="1"/>
    <col min="10" max="11" width="13" style="1" bestFit="1" customWidth="1"/>
    <col min="12" max="12" width="9.140625" style="1"/>
    <col min="13" max="13" width="41.5703125" style="1" bestFit="1" customWidth="1"/>
    <col min="14" max="14" width="24.35546875" style="1" bestFit="1" customWidth="1"/>
    <col min="15" max="16" width="13" style="1" bestFit="1" customWidth="1"/>
    <col min="17" max="16384" width="9.140625" style="1"/>
  </cols>
  <sheetData>
    <row r="2" spans="2:16" ht="14.25" thickBot="1" x14ac:dyDescent="0.45">
      <c r="B2" s="1" t="s">
        <v>0</v>
      </c>
      <c r="D2" s="2" t="s">
        <v>1</v>
      </c>
      <c r="E2" s="2" t="s">
        <v>12</v>
      </c>
      <c r="F2" s="3">
        <v>45524</v>
      </c>
      <c r="H2" s="4" t="s">
        <v>2</v>
      </c>
      <c r="I2" s="2" t="s">
        <v>12</v>
      </c>
      <c r="J2" s="57" t="s">
        <v>3</v>
      </c>
      <c r="K2" s="57"/>
      <c r="M2" s="4" t="s">
        <v>4</v>
      </c>
      <c r="N2" s="2" t="s">
        <v>12</v>
      </c>
      <c r="O2" s="57">
        <v>45556</v>
      </c>
      <c r="P2" s="57"/>
    </row>
    <row r="3" spans="2:16" x14ac:dyDescent="0.4">
      <c r="D3" s="5" t="s">
        <v>5</v>
      </c>
      <c r="E3" s="5" t="s">
        <v>6</v>
      </c>
      <c r="F3" s="5" t="s">
        <v>7</v>
      </c>
      <c r="H3" s="5" t="s">
        <v>8</v>
      </c>
      <c r="I3" s="5" t="s">
        <v>6</v>
      </c>
      <c r="J3" s="5" t="s">
        <v>7</v>
      </c>
      <c r="K3" s="5" t="s">
        <v>9</v>
      </c>
      <c r="M3" s="5" t="s">
        <v>8</v>
      </c>
      <c r="N3" s="5" t="s">
        <v>6</v>
      </c>
      <c r="O3" s="5" t="s">
        <v>7</v>
      </c>
      <c r="P3" s="5" t="s">
        <v>9</v>
      </c>
    </row>
    <row r="4" spans="2:16" x14ac:dyDescent="0.4">
      <c r="D4" s="1">
        <v>0</v>
      </c>
      <c r="E4" s="1">
        <v>907500000</v>
      </c>
      <c r="F4" s="1">
        <v>108512672.07105352</v>
      </c>
      <c r="H4" s="1">
        <v>1</v>
      </c>
      <c r="I4" s="1">
        <v>554000</v>
      </c>
      <c r="J4" s="1">
        <v>234128.17002659035</v>
      </c>
      <c r="K4" s="1">
        <v>0</v>
      </c>
      <c r="M4" s="1">
        <v>1</v>
      </c>
      <c r="N4" s="1">
        <v>4374000</v>
      </c>
      <c r="O4" s="1">
        <v>812758.26664513245</v>
      </c>
      <c r="P4" s="1">
        <v>0</v>
      </c>
    </row>
    <row r="5" spans="2:16" x14ac:dyDescent="0.4">
      <c r="D5" s="1">
        <v>10</v>
      </c>
      <c r="E5" s="1">
        <v>2596666666.666667</v>
      </c>
      <c r="F5" s="1">
        <v>156914697.2791976</v>
      </c>
      <c r="H5" s="1">
        <v>2</v>
      </c>
      <c r="I5" s="1">
        <v>1260000</v>
      </c>
      <c r="J5" s="1">
        <v>214631.46709340331</v>
      </c>
      <c r="K5" s="1">
        <v>0.25</v>
      </c>
      <c r="M5" s="1">
        <v>2</v>
      </c>
      <c r="N5" s="1">
        <v>9316666.666666666</v>
      </c>
      <c r="O5" s="1">
        <v>1151327.735944703</v>
      </c>
      <c r="P5" s="1">
        <v>0.25</v>
      </c>
    </row>
    <row r="6" spans="2:16" x14ac:dyDescent="0.4">
      <c r="D6" s="1">
        <v>25</v>
      </c>
      <c r="E6" s="1">
        <v>2326666666.6666665</v>
      </c>
      <c r="F6" s="1">
        <v>330790299.46814072</v>
      </c>
      <c r="H6" s="1">
        <v>3</v>
      </c>
      <c r="I6" s="1">
        <v>1384000</v>
      </c>
      <c r="J6" s="1">
        <v>446246.56861425837</v>
      </c>
      <c r="K6" s="1">
        <v>0.5</v>
      </c>
      <c r="M6" s="1">
        <v>3</v>
      </c>
      <c r="N6" s="1">
        <v>14983333.333333332</v>
      </c>
      <c r="O6" s="1">
        <v>1185561.2829185827</v>
      </c>
      <c r="P6" s="1">
        <v>0.75</v>
      </c>
    </row>
    <row r="7" spans="2:16" x14ac:dyDescent="0.4">
      <c r="D7" s="1">
        <v>50</v>
      </c>
      <c r="E7" s="1">
        <v>1987500000</v>
      </c>
      <c r="F7" s="1">
        <v>182048528.32875818</v>
      </c>
      <c r="H7" s="1">
        <v>4</v>
      </c>
      <c r="I7" s="1">
        <v>1361333.3333333335</v>
      </c>
      <c r="J7" s="1">
        <v>223292.53358667315</v>
      </c>
      <c r="K7" s="1">
        <v>1</v>
      </c>
      <c r="M7" s="6">
        <v>4</v>
      </c>
      <c r="N7" s="6">
        <v>16580000</v>
      </c>
      <c r="O7" s="6">
        <v>2377898.2316322955</v>
      </c>
      <c r="P7" s="6">
        <v>1.25</v>
      </c>
    </row>
    <row r="8" spans="2:16" x14ac:dyDescent="0.4">
      <c r="D8" s="1">
        <v>100</v>
      </c>
      <c r="E8" s="1">
        <v>1440000000</v>
      </c>
      <c r="F8" s="1">
        <v>73484692.283495337</v>
      </c>
      <c r="H8" s="1">
        <v>5</v>
      </c>
      <c r="I8" s="1">
        <v>2672500</v>
      </c>
      <c r="J8" s="1">
        <v>447148.37209439406</v>
      </c>
      <c r="K8" s="1">
        <v>2</v>
      </c>
      <c r="M8" s="1" t="s">
        <v>10</v>
      </c>
      <c r="N8" s="1" t="s">
        <v>6</v>
      </c>
      <c r="O8" s="1" t="s">
        <v>7</v>
      </c>
      <c r="P8" s="1" t="s">
        <v>9</v>
      </c>
    </row>
    <row r="9" spans="2:16" x14ac:dyDescent="0.4">
      <c r="D9" s="6">
        <v>250</v>
      </c>
      <c r="E9" s="6">
        <v>225000000</v>
      </c>
      <c r="F9" s="6">
        <v>79214897.588774294</v>
      </c>
      <c r="H9" s="1">
        <v>6</v>
      </c>
      <c r="I9" s="1">
        <v>6800000</v>
      </c>
      <c r="J9" s="1">
        <v>711805.21680208738</v>
      </c>
      <c r="K9" s="1">
        <v>3</v>
      </c>
      <c r="M9" s="1">
        <v>0</v>
      </c>
      <c r="N9" s="1">
        <v>4374000</v>
      </c>
      <c r="O9" s="1">
        <v>812758.26664513245</v>
      </c>
      <c r="P9" s="1">
        <v>0</v>
      </c>
    </row>
    <row r="10" spans="2:16" x14ac:dyDescent="0.4">
      <c r="H10" s="6">
        <v>7</v>
      </c>
      <c r="I10" s="6">
        <v>16033333.333333332</v>
      </c>
      <c r="J10" s="6">
        <v>2872087.8971384023</v>
      </c>
      <c r="K10" s="6">
        <v>4</v>
      </c>
      <c r="M10" s="1">
        <v>1</v>
      </c>
      <c r="N10" s="1">
        <v>5248000</v>
      </c>
      <c r="O10" s="1">
        <v>856168.20777228114</v>
      </c>
      <c r="P10" s="1">
        <v>1.6666666666666666E-2</v>
      </c>
    </row>
    <row r="11" spans="2:16" x14ac:dyDescent="0.4">
      <c r="H11" s="1" t="s">
        <v>10</v>
      </c>
      <c r="I11" s="1" t="s">
        <v>6</v>
      </c>
      <c r="J11" s="1" t="s">
        <v>7</v>
      </c>
      <c r="K11" s="1" t="s">
        <v>9</v>
      </c>
      <c r="M11" s="1">
        <v>2</v>
      </c>
      <c r="N11" s="1">
        <v>5811666.666666667</v>
      </c>
      <c r="O11" s="1">
        <v>556766.45812125655</v>
      </c>
      <c r="P11" s="1">
        <v>0.25</v>
      </c>
    </row>
    <row r="12" spans="2:16" x14ac:dyDescent="0.4">
      <c r="H12" s="1">
        <v>0</v>
      </c>
      <c r="I12" s="1">
        <v>554000</v>
      </c>
      <c r="J12" s="1">
        <v>234128.17002659035</v>
      </c>
      <c r="K12" s="1">
        <v>0</v>
      </c>
      <c r="M12" s="1">
        <v>3</v>
      </c>
      <c r="N12" s="1">
        <v>11200000</v>
      </c>
      <c r="O12" s="1">
        <v>432049.37989385735</v>
      </c>
      <c r="P12" s="1">
        <v>0.75</v>
      </c>
    </row>
    <row r="13" spans="2:16" x14ac:dyDescent="0.4">
      <c r="H13" s="1">
        <v>1</v>
      </c>
      <c r="I13" s="1">
        <v>659166.66666666674</v>
      </c>
      <c r="J13" s="1">
        <v>256704.54265988793</v>
      </c>
      <c r="K13" s="1">
        <v>1.6666666666666666E-2</v>
      </c>
      <c r="M13" s="6">
        <v>4</v>
      </c>
      <c r="N13" s="6">
        <v>13050000</v>
      </c>
      <c r="O13" s="6">
        <v>754983.443527075</v>
      </c>
      <c r="P13" s="6">
        <v>1.25</v>
      </c>
    </row>
    <row r="14" spans="2:16" x14ac:dyDescent="0.4">
      <c r="H14" s="1">
        <v>2</v>
      </c>
      <c r="I14" s="1">
        <v>1133333.3333333333</v>
      </c>
      <c r="J14" s="1">
        <v>191601.43817599886</v>
      </c>
      <c r="K14" s="1">
        <v>0.25</v>
      </c>
      <c r="M14" s="1" t="s">
        <v>11</v>
      </c>
      <c r="N14" s="1" t="s">
        <v>6</v>
      </c>
      <c r="O14" s="1" t="s">
        <v>7</v>
      </c>
      <c r="P14" s="1" t="s">
        <v>9</v>
      </c>
    </row>
    <row r="15" spans="2:16" x14ac:dyDescent="0.4">
      <c r="H15" s="1">
        <v>3</v>
      </c>
      <c r="I15" s="1">
        <v>1018333.3333333333</v>
      </c>
      <c r="J15" s="1">
        <v>389686.48367059836</v>
      </c>
      <c r="K15" s="1">
        <v>0.5</v>
      </c>
      <c r="M15" s="1">
        <v>0</v>
      </c>
      <c r="N15" s="1">
        <v>4374000</v>
      </c>
      <c r="O15" s="1">
        <v>812758.26664513245</v>
      </c>
      <c r="P15" s="1">
        <v>0</v>
      </c>
    </row>
    <row r="16" spans="2:16" x14ac:dyDescent="0.4">
      <c r="H16" s="1">
        <v>4</v>
      </c>
      <c r="I16" s="1">
        <v>962500</v>
      </c>
      <c r="J16" s="1">
        <v>355914.31553114014</v>
      </c>
      <c r="K16" s="1">
        <v>1</v>
      </c>
      <c r="M16" s="1">
        <v>1</v>
      </c>
      <c r="N16" s="1">
        <v>4884000</v>
      </c>
      <c r="O16" s="1">
        <v>1013398.2435350872</v>
      </c>
      <c r="P16" s="1">
        <v>1.6666666666666666E-2</v>
      </c>
    </row>
    <row r="17" spans="8:16" x14ac:dyDescent="0.4">
      <c r="H17" s="1">
        <v>5</v>
      </c>
      <c r="I17" s="1">
        <v>1007500</v>
      </c>
      <c r="J17" s="1">
        <v>93674.969975975968</v>
      </c>
      <c r="K17" s="1">
        <v>2</v>
      </c>
      <c r="M17" s="1">
        <v>2</v>
      </c>
      <c r="N17" s="1">
        <v>4006666.6666666665</v>
      </c>
      <c r="O17" s="1">
        <v>567176.24147075217</v>
      </c>
      <c r="P17" s="1">
        <v>0.25</v>
      </c>
    </row>
    <row r="18" spans="8:16" x14ac:dyDescent="0.4">
      <c r="H18" s="1">
        <v>6</v>
      </c>
      <c r="I18" s="1">
        <v>6000000</v>
      </c>
      <c r="J18" s="1">
        <v>3798245.2088650973</v>
      </c>
      <c r="K18" s="1">
        <v>3</v>
      </c>
      <c r="M18" s="1">
        <v>3</v>
      </c>
      <c r="N18" s="1">
        <v>10600000</v>
      </c>
      <c r="O18" s="1">
        <v>326598.63237109041</v>
      </c>
      <c r="P18" s="1">
        <v>0.75</v>
      </c>
    </row>
    <row r="19" spans="8:16" x14ac:dyDescent="0.4">
      <c r="H19" s="6">
        <v>7</v>
      </c>
      <c r="I19" s="6">
        <v>10150000</v>
      </c>
      <c r="J19" s="6">
        <v>2851315.4858766505</v>
      </c>
      <c r="K19" s="6">
        <v>4</v>
      </c>
      <c r="M19" s="6">
        <v>4</v>
      </c>
      <c r="N19" s="6">
        <v>12700000</v>
      </c>
      <c r="O19" s="6">
        <v>346410.16151377547</v>
      </c>
      <c r="P19" s="6">
        <v>1.25</v>
      </c>
    </row>
    <row r="20" spans="8:16" x14ac:dyDescent="0.4">
      <c r="H20" s="1" t="s">
        <v>11</v>
      </c>
      <c r="I20" s="1" t="s">
        <v>6</v>
      </c>
      <c r="J20" s="1" t="s">
        <v>7</v>
      </c>
      <c r="K20" s="1" t="s">
        <v>9</v>
      </c>
    </row>
    <row r="21" spans="8:16" x14ac:dyDescent="0.4">
      <c r="H21" s="1">
        <v>0</v>
      </c>
      <c r="I21" s="1">
        <v>554000</v>
      </c>
      <c r="J21" s="1">
        <v>234128.17002659035</v>
      </c>
      <c r="K21" s="1">
        <v>0</v>
      </c>
    </row>
    <row r="22" spans="8:16" x14ac:dyDescent="0.4">
      <c r="H22" s="1">
        <v>1</v>
      </c>
      <c r="I22" s="1">
        <v>669166.66666666674</v>
      </c>
      <c r="J22" s="1">
        <v>121506.74421154115</v>
      </c>
      <c r="K22" s="1">
        <v>1.6666666666666666E-2</v>
      </c>
    </row>
    <row r="23" spans="8:16" x14ac:dyDescent="0.4">
      <c r="H23" s="1">
        <v>2</v>
      </c>
      <c r="I23" s="1">
        <v>951666.66666666674</v>
      </c>
      <c r="J23" s="1">
        <v>265057.64572174777</v>
      </c>
      <c r="K23" s="1">
        <v>0.25</v>
      </c>
    </row>
    <row r="24" spans="8:16" x14ac:dyDescent="0.4">
      <c r="H24" s="1">
        <v>3</v>
      </c>
      <c r="I24" s="1">
        <v>905000</v>
      </c>
      <c r="J24" s="1">
        <v>148660.68747318507</v>
      </c>
      <c r="K24" s="1">
        <v>0.5</v>
      </c>
    </row>
    <row r="25" spans="8:16" x14ac:dyDescent="0.4">
      <c r="H25" s="1">
        <v>4</v>
      </c>
      <c r="I25" s="1">
        <v>822500</v>
      </c>
      <c r="J25" s="1">
        <v>183779.75949489104</v>
      </c>
      <c r="K25" s="1">
        <v>1</v>
      </c>
    </row>
    <row r="26" spans="8:16" x14ac:dyDescent="0.4">
      <c r="H26" s="1">
        <v>5</v>
      </c>
      <c r="I26" s="1">
        <v>1190000</v>
      </c>
      <c r="J26" s="1">
        <v>333266.65999866632</v>
      </c>
      <c r="K26" s="1">
        <v>2</v>
      </c>
    </row>
    <row r="27" spans="8:16" x14ac:dyDescent="0.4">
      <c r="H27" s="1">
        <v>6</v>
      </c>
      <c r="I27" s="1">
        <v>4825000</v>
      </c>
      <c r="J27" s="1">
        <v>2026696.8199511243</v>
      </c>
      <c r="K27" s="1">
        <v>3</v>
      </c>
    </row>
    <row r="28" spans="8:16" x14ac:dyDescent="0.4">
      <c r="H28" s="6">
        <v>7</v>
      </c>
      <c r="I28" s="6">
        <v>11400000</v>
      </c>
      <c r="J28" s="6">
        <v>2227105.7451320086</v>
      </c>
      <c r="K28" s="6">
        <v>4</v>
      </c>
    </row>
  </sheetData>
  <mergeCells count="2">
    <mergeCell ref="J2:K2"/>
    <mergeCell ref="O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2A4E-3C61-4A83-BEFB-500EB5A382E4}">
  <dimension ref="B2:AR78"/>
  <sheetViews>
    <sheetView tabSelected="1" zoomScale="63" workbookViewId="0">
      <selection activeCell="Q27" sqref="Q27"/>
    </sheetView>
  </sheetViews>
  <sheetFormatPr defaultRowHeight="13.9" x14ac:dyDescent="0.4"/>
  <cols>
    <col min="1" max="1" width="9.140625" style="1"/>
    <col min="2" max="2" width="21.35546875" style="1" bestFit="1" customWidth="1"/>
    <col min="3" max="3" width="13.7109375" style="1" bestFit="1" customWidth="1"/>
    <col min="4" max="4" width="11.2109375" style="1" bestFit="1" customWidth="1"/>
    <col min="5" max="5" width="13.7109375" style="1" bestFit="1" customWidth="1"/>
    <col min="6" max="6" width="11.2109375" style="1" bestFit="1" customWidth="1"/>
    <col min="7" max="8" width="9.140625" style="1"/>
    <col min="9" max="9" width="20.5" style="1" bestFit="1" customWidth="1"/>
    <col min="10" max="10" width="14.92578125" style="1" bestFit="1" customWidth="1"/>
    <col min="11" max="11" width="10.640625" style="1" bestFit="1" customWidth="1"/>
    <col min="12" max="12" width="14.92578125" style="1" bestFit="1" customWidth="1"/>
    <col min="13" max="13" width="9.7109375" style="1" bestFit="1" customWidth="1"/>
    <col min="14" max="14" width="9.140625" style="1"/>
    <col min="15" max="15" width="20.5" style="1" bestFit="1" customWidth="1"/>
    <col min="16" max="16" width="14.92578125" style="1" bestFit="1" customWidth="1"/>
    <col min="17" max="17" width="10.640625" style="1" bestFit="1" customWidth="1"/>
    <col min="18" max="18" width="14.92578125" style="1" bestFit="1" customWidth="1"/>
    <col min="19" max="19" width="9.7109375" style="1" bestFit="1" customWidth="1"/>
    <col min="20" max="20" width="9.140625" style="1"/>
    <col min="21" max="21" width="20.5" style="1" bestFit="1" customWidth="1"/>
    <col min="22" max="22" width="14.92578125" style="1" bestFit="1" customWidth="1"/>
    <col min="23" max="23" width="10.640625" style="1" bestFit="1" customWidth="1"/>
    <col min="24" max="24" width="14.92578125" style="1" bestFit="1" customWidth="1"/>
    <col min="25" max="25" width="9.7109375" style="1" bestFit="1" customWidth="1"/>
    <col min="26" max="27" width="9.140625" style="1"/>
    <col min="28" max="28" width="20.5" style="1" bestFit="1" customWidth="1"/>
    <col min="29" max="29" width="14.92578125" style="1" bestFit="1" customWidth="1"/>
    <col min="30" max="30" width="10.640625" style="1" bestFit="1" customWidth="1"/>
    <col min="31" max="31" width="14.92578125" style="1" bestFit="1" customWidth="1"/>
    <col min="32" max="32" width="9.7109375" style="1" bestFit="1" customWidth="1"/>
    <col min="33" max="33" width="9.140625" style="1"/>
    <col min="34" max="34" width="20.5" style="1" bestFit="1" customWidth="1"/>
    <col min="35" max="35" width="14.92578125" style="1" bestFit="1" customWidth="1"/>
    <col min="36" max="36" width="10.640625" style="1" bestFit="1" customWidth="1"/>
    <col min="37" max="37" width="14.92578125" style="1" bestFit="1" customWidth="1"/>
    <col min="38" max="38" width="9.7109375" style="1" bestFit="1" customWidth="1"/>
    <col min="39" max="39" width="9.140625" style="1"/>
    <col min="40" max="40" width="20.5" style="1" bestFit="1" customWidth="1"/>
    <col min="41" max="41" width="14.92578125" style="1" bestFit="1" customWidth="1"/>
    <col min="42" max="42" width="10.640625" style="1" bestFit="1" customWidth="1"/>
    <col min="43" max="43" width="14.92578125" style="1" bestFit="1" customWidth="1"/>
    <col min="44" max="44" width="9.7109375" style="1" bestFit="1" customWidth="1"/>
    <col min="45" max="16384" width="9.140625" style="1"/>
  </cols>
  <sheetData>
    <row r="2" spans="2:44" ht="16.899999999999999" thickBot="1" x14ac:dyDescent="0.65">
      <c r="B2" s="7" t="s">
        <v>1</v>
      </c>
      <c r="C2" s="7" t="s">
        <v>24</v>
      </c>
      <c r="D2" s="8">
        <v>45524</v>
      </c>
      <c r="I2" s="46" t="s">
        <v>14</v>
      </c>
      <c r="J2" s="46"/>
      <c r="K2" s="46"/>
      <c r="L2" s="46"/>
      <c r="M2" s="46"/>
      <c r="N2" s="46"/>
      <c r="O2" s="47" t="s">
        <v>23</v>
      </c>
      <c r="P2" s="47"/>
      <c r="Q2" s="47"/>
      <c r="R2" s="47"/>
      <c r="S2" s="48" t="s">
        <v>3</v>
      </c>
      <c r="T2" s="48"/>
      <c r="U2" s="48"/>
      <c r="V2" s="48"/>
      <c r="W2" s="48"/>
      <c r="X2" s="48"/>
      <c r="Y2" s="48"/>
      <c r="AB2" s="46" t="s">
        <v>15</v>
      </c>
      <c r="AC2" s="46"/>
      <c r="AD2" s="46"/>
      <c r="AE2" s="46"/>
      <c r="AF2" s="46"/>
      <c r="AG2" s="46"/>
      <c r="AH2" s="47" t="s">
        <v>23</v>
      </c>
      <c r="AI2" s="47"/>
      <c r="AJ2" s="47"/>
      <c r="AK2" s="48">
        <v>45556</v>
      </c>
      <c r="AL2" s="48"/>
      <c r="AM2" s="48"/>
      <c r="AN2" s="48"/>
      <c r="AO2" s="48"/>
      <c r="AP2" s="48"/>
      <c r="AQ2" s="48"/>
      <c r="AR2" s="48"/>
    </row>
    <row r="3" spans="2:44" x14ac:dyDescent="0.4">
      <c r="B3" s="9"/>
      <c r="C3" s="10" t="s">
        <v>22</v>
      </c>
      <c r="D3" s="11" t="s">
        <v>21</v>
      </c>
      <c r="E3" s="10" t="s">
        <v>22</v>
      </c>
      <c r="F3" s="11" t="s">
        <v>21</v>
      </c>
      <c r="I3" s="28"/>
      <c r="J3" s="29" t="s">
        <v>22</v>
      </c>
      <c r="K3" s="30" t="s">
        <v>21</v>
      </c>
      <c r="L3" s="29" t="s">
        <v>22</v>
      </c>
      <c r="M3" s="30" t="s">
        <v>21</v>
      </c>
      <c r="N3" s="27"/>
      <c r="O3" s="28"/>
      <c r="P3" s="29" t="s">
        <v>22</v>
      </c>
      <c r="Q3" s="30" t="s">
        <v>21</v>
      </c>
      <c r="R3" s="29" t="s">
        <v>22</v>
      </c>
      <c r="S3" s="30" t="s">
        <v>21</v>
      </c>
      <c r="T3" s="27"/>
      <c r="U3" s="28"/>
      <c r="V3" s="29" t="s">
        <v>22</v>
      </c>
      <c r="W3" s="30" t="s">
        <v>21</v>
      </c>
      <c r="X3" s="29" t="s">
        <v>22</v>
      </c>
      <c r="Y3" s="30" t="s">
        <v>21</v>
      </c>
      <c r="AB3" s="28"/>
      <c r="AC3" s="29" t="s">
        <v>22</v>
      </c>
      <c r="AD3" s="30" t="s">
        <v>21</v>
      </c>
      <c r="AE3" s="29" t="s">
        <v>22</v>
      </c>
      <c r="AF3" s="30" t="s">
        <v>21</v>
      </c>
      <c r="AG3" s="27"/>
      <c r="AH3" s="28"/>
      <c r="AI3" s="29" t="s">
        <v>22</v>
      </c>
      <c r="AJ3" s="30" t="s">
        <v>21</v>
      </c>
      <c r="AK3" s="29" t="s">
        <v>22</v>
      </c>
      <c r="AL3" s="30" t="s">
        <v>21</v>
      </c>
      <c r="AM3" s="27"/>
      <c r="AN3" s="28"/>
      <c r="AO3" s="29" t="s">
        <v>22</v>
      </c>
      <c r="AP3" s="30" t="s">
        <v>21</v>
      </c>
      <c r="AQ3" s="29" t="s">
        <v>22</v>
      </c>
      <c r="AR3" s="30" t="s">
        <v>21</v>
      </c>
    </row>
    <row r="4" spans="2:44" ht="15" x14ac:dyDescent="0.45">
      <c r="B4" s="12" t="s">
        <v>25</v>
      </c>
      <c r="C4" s="13">
        <v>54</v>
      </c>
      <c r="D4" s="14">
        <f>IF(ISNUMBER(C4) = TRUE, C4*10^C$9*1000/C$10, "N/A")</f>
        <v>1080000000</v>
      </c>
      <c r="E4" s="13">
        <v>4</v>
      </c>
      <c r="F4" s="14">
        <f>IF(ISNUMBER(E4) = TRUE, E4*10^E$9*1000/E$10, "N/A")</f>
        <v>800000000</v>
      </c>
      <c r="I4" s="31" t="s">
        <v>25</v>
      </c>
      <c r="J4" s="15">
        <v>37</v>
      </c>
      <c r="K4" s="32">
        <f>IF(ISNUMBER(J4) = TRUE, J4*10^J$9*1000/J$10, "N/A")</f>
        <v>740000</v>
      </c>
      <c r="L4" s="15">
        <v>1</v>
      </c>
      <c r="M4" s="32">
        <f>IF(ISNUMBER(L4) = TRUE, L4*10^L$9*1000/L$10, "N/A")</f>
        <v>200000</v>
      </c>
      <c r="N4" s="27"/>
      <c r="O4" s="31" t="s">
        <v>25</v>
      </c>
      <c r="P4" s="15">
        <v>38</v>
      </c>
      <c r="Q4" s="32">
        <f>IF(ISNUMBER(P4) = TRUE, P4*10^P$9*1000/P$10, "N/A")</f>
        <v>760000</v>
      </c>
      <c r="R4" s="15">
        <v>3</v>
      </c>
      <c r="S4" s="32">
        <f>IF(ISNUMBER(R4) = TRUE, R4*10^R$9*1000/R$10, "N/A")</f>
        <v>600000</v>
      </c>
      <c r="T4" s="27"/>
      <c r="U4" s="31" t="s">
        <v>25</v>
      </c>
      <c r="V4" s="15">
        <v>37</v>
      </c>
      <c r="W4" s="32">
        <f>IF(ISNUMBER(V4) = TRUE, V4*10^V$9*1000/V$10, "N/A")</f>
        <v>740000</v>
      </c>
      <c r="X4" s="15">
        <v>3</v>
      </c>
      <c r="Y4" s="32">
        <f>IF(ISNUMBER(X4) = TRUE, X4*10^X$9*1000/X$10, "N/A")</f>
        <v>600000</v>
      </c>
      <c r="AB4" s="31" t="s">
        <v>25</v>
      </c>
      <c r="AC4" s="15">
        <v>142</v>
      </c>
      <c r="AD4" s="32">
        <f>IF(ISNUMBER(AC4) = TRUE, AC4*10^AC$9*1000/AC$10, "N/A")</f>
        <v>2840000</v>
      </c>
      <c r="AE4" s="15">
        <v>31</v>
      </c>
      <c r="AF4" s="32">
        <f>IF(ISNUMBER(AE4) = TRUE, AE4*10^AE$9*1000/AE$10, "N/A")</f>
        <v>6200000</v>
      </c>
      <c r="AG4" s="27"/>
      <c r="AH4" s="31" t="s">
        <v>25</v>
      </c>
      <c r="AI4" s="15">
        <v>160</v>
      </c>
      <c r="AJ4" s="32">
        <f>IF(ISNUMBER(AI4) = TRUE, AI4*10^AI$9*1000/AI$10, "N/A")</f>
        <v>3200000</v>
      </c>
      <c r="AK4" s="15">
        <v>41</v>
      </c>
      <c r="AL4" s="32">
        <f>IF(ISNUMBER(AK4) = TRUE, AK4*10^AK$9*1000/AK$10, "N/A")</f>
        <v>8200000</v>
      </c>
      <c r="AM4" s="27"/>
      <c r="AN4" s="31" t="s">
        <v>25</v>
      </c>
      <c r="AO4" s="15">
        <v>115</v>
      </c>
      <c r="AP4" s="32">
        <f>IF(ISNUMBER(AO4) = TRUE, AO4*10^AO$9*1000/AO$10, "N/A")</f>
        <v>2300000</v>
      </c>
      <c r="AQ4" s="15">
        <v>36</v>
      </c>
      <c r="AR4" s="32">
        <f>IF(ISNUMBER(AQ4) = TRUE, AQ4*10^AQ$9*1000/AQ$10, "N/A")</f>
        <v>7200000</v>
      </c>
    </row>
    <row r="5" spans="2:44" ht="15" x14ac:dyDescent="0.45">
      <c r="B5" s="12" t="s">
        <v>26</v>
      </c>
      <c r="C5" s="13">
        <v>58</v>
      </c>
      <c r="D5" s="14">
        <f>IF(ISNUMBER(C5) = TRUE, C5*10^C$9*1000/C$10, "N/A")</f>
        <v>1160000000</v>
      </c>
      <c r="E5" s="13">
        <v>4</v>
      </c>
      <c r="F5" s="14">
        <f>IF(ISNUMBER(E5) = TRUE, E5*10^E$9*1000/E$10, "N/A")</f>
        <v>800000000</v>
      </c>
      <c r="I5" s="31" t="s">
        <v>26</v>
      </c>
      <c r="J5" s="15">
        <v>36</v>
      </c>
      <c r="K5" s="32">
        <f>IF(ISNUMBER(J5) = TRUE, J5*10^J$9*1000/J$10, "N/A")</f>
        <v>720000</v>
      </c>
      <c r="L5" s="15">
        <v>4</v>
      </c>
      <c r="M5" s="32">
        <f>IF(ISNUMBER(L5) = TRUE, L5*10^L$9*1000/L$10, "N/A")</f>
        <v>800000</v>
      </c>
      <c r="N5" s="27"/>
      <c r="O5" s="31" t="s">
        <v>26</v>
      </c>
      <c r="P5" s="15">
        <v>35</v>
      </c>
      <c r="Q5" s="32">
        <f>IF(ISNUMBER(P5) = TRUE, P5*10^P$9*1000/P$10, "N/A")</f>
        <v>700000</v>
      </c>
      <c r="R5" s="15">
        <v>4</v>
      </c>
      <c r="S5" s="32">
        <f>IF(ISNUMBER(R5) = TRUE, R5*10^R$9*1000/R$10, "N/A")</f>
        <v>800000</v>
      </c>
      <c r="T5" s="27"/>
      <c r="U5" s="31" t="s">
        <v>26</v>
      </c>
      <c r="V5" s="15">
        <v>36</v>
      </c>
      <c r="W5" s="32">
        <f>IF(ISNUMBER(V5) = TRUE, V5*10^V$9*1000/V$10, "N/A")</f>
        <v>720000</v>
      </c>
      <c r="X5" s="15">
        <v>2</v>
      </c>
      <c r="Y5" s="32">
        <f>IF(ISNUMBER(X5) = TRUE, X5*10^X$9*1000/X$10, "N/A")</f>
        <v>400000</v>
      </c>
      <c r="AB5" s="31" t="s">
        <v>26</v>
      </c>
      <c r="AC5" s="15">
        <v>127</v>
      </c>
      <c r="AD5" s="32">
        <f>IF(ISNUMBER(AC5) = TRUE, AC5*10^AC$9*1000/AC$10, "N/A")</f>
        <v>2540000</v>
      </c>
      <c r="AE5" s="15">
        <v>29</v>
      </c>
      <c r="AF5" s="32">
        <f>IF(ISNUMBER(AE5) = TRUE, AE5*10^AE$9*1000/AE$10, "N/A")</f>
        <v>5800000</v>
      </c>
      <c r="AG5" s="27"/>
      <c r="AH5" s="31" t="s">
        <v>26</v>
      </c>
      <c r="AI5" s="15">
        <v>152</v>
      </c>
      <c r="AJ5" s="32">
        <f>IF(ISNUMBER(AI5) = TRUE, AI5*10^AI$9*1000/AI$10, "N/A")</f>
        <v>3040000</v>
      </c>
      <c r="AK5" s="15">
        <v>30</v>
      </c>
      <c r="AL5" s="32">
        <f>IF(ISNUMBER(AK5) = TRUE, AK5*10^AK$9*1000/AK$10, "N/A")</f>
        <v>6000000</v>
      </c>
      <c r="AM5" s="27"/>
      <c r="AN5" s="31" t="s">
        <v>26</v>
      </c>
      <c r="AO5" s="15">
        <v>118</v>
      </c>
      <c r="AP5" s="32">
        <f>IF(ISNUMBER(AO5) = TRUE, AO5*10^AO$9*1000/AO$10, "N/A")</f>
        <v>2360000</v>
      </c>
      <c r="AQ5" s="15">
        <v>35</v>
      </c>
      <c r="AR5" s="32">
        <f>IF(ISNUMBER(AQ5) = TRUE, AQ5*10^AQ$9*1000/AQ$10, "N/A")</f>
        <v>7000000</v>
      </c>
    </row>
    <row r="6" spans="2:44" ht="15" x14ac:dyDescent="0.45">
      <c r="B6" s="12" t="s">
        <v>27</v>
      </c>
      <c r="C6" s="13">
        <v>52</v>
      </c>
      <c r="D6" s="14">
        <f>IF(ISNUMBER(C6) = TRUE, C6*10^C$9*1000/C$10, "N/A")</f>
        <v>1040000000</v>
      </c>
      <c r="E6" s="13">
        <v>4</v>
      </c>
      <c r="F6" s="14">
        <f>IF(ISNUMBER(E6) = TRUE, E6*10^E$9*1000/E$10, "N/A")</f>
        <v>800000000</v>
      </c>
      <c r="I6" s="31" t="s">
        <v>27</v>
      </c>
      <c r="J6" s="15">
        <v>37</v>
      </c>
      <c r="K6" s="32">
        <f>IF(ISNUMBER(J6) = TRUE, J6*10^J$9*1000/J$10, "N/A")</f>
        <v>740000</v>
      </c>
      <c r="L6" s="15">
        <v>1</v>
      </c>
      <c r="M6" s="32">
        <f>IF(ISNUMBER(L6) = TRUE, L6*10^L$9*1000/L$10, "N/A")</f>
        <v>200000</v>
      </c>
      <c r="N6" s="27"/>
      <c r="O6" s="31" t="s">
        <v>27</v>
      </c>
      <c r="P6" s="15">
        <v>43</v>
      </c>
      <c r="Q6" s="32">
        <f>IF(ISNUMBER(P6) = TRUE, P6*10^P$9*1000/P$10, "N/A")</f>
        <v>860000</v>
      </c>
      <c r="R6" s="15">
        <v>1</v>
      </c>
      <c r="S6" s="32">
        <f>IF(ISNUMBER(R6) = TRUE, R6*10^R$9*1000/R$10, "N/A")</f>
        <v>200000</v>
      </c>
      <c r="T6" s="27"/>
      <c r="U6" s="31" t="s">
        <v>27</v>
      </c>
      <c r="V6" s="15">
        <v>45</v>
      </c>
      <c r="W6" s="32">
        <f>IF(ISNUMBER(V6) = TRUE, V6*10^V$9*1000/V$10, "N/A")</f>
        <v>900000</v>
      </c>
      <c r="X6" s="15">
        <v>3</v>
      </c>
      <c r="Y6" s="32">
        <f>IF(ISNUMBER(X6) = TRUE, X6*10^X$9*1000/X$10, "N/A")</f>
        <v>600000</v>
      </c>
      <c r="AB6" s="31" t="s">
        <v>27</v>
      </c>
      <c r="AC6" s="15">
        <v>145</v>
      </c>
      <c r="AD6" s="32">
        <f>IF(ISNUMBER(AC6) = TRUE, AC6*10^AC$9*1000/AC$10, "N/A")</f>
        <v>2900000</v>
      </c>
      <c r="AE6" s="15">
        <v>24</v>
      </c>
      <c r="AF6" s="32">
        <f>IF(ISNUMBER(AE6) = TRUE, AE6*10^AE$9*1000/AE$10, "N/A")</f>
        <v>4800000</v>
      </c>
      <c r="AG6" s="27"/>
      <c r="AH6" s="31" t="s">
        <v>27</v>
      </c>
      <c r="AI6" s="15">
        <v>146</v>
      </c>
      <c r="AJ6" s="32">
        <f>IF(ISNUMBER(AI6) = TRUE, AI6*10^AI$9*1000/AI$10, "N/A")</f>
        <v>2920000</v>
      </c>
      <c r="AK6" s="15">
        <v>36</v>
      </c>
      <c r="AL6" s="32">
        <f>IF(ISNUMBER(AK6) = TRUE, AK6*10^AK$9*1000/AK$10, "N/A")</f>
        <v>7200000</v>
      </c>
      <c r="AM6" s="27"/>
      <c r="AN6" s="31" t="s">
        <v>27</v>
      </c>
      <c r="AO6" s="15">
        <v>117</v>
      </c>
      <c r="AP6" s="32">
        <f>IF(ISNUMBER(AO6) = TRUE, AO6*10^AO$9*1000/AO$10, "N/A")</f>
        <v>2340000</v>
      </c>
      <c r="AQ6" s="15">
        <v>43</v>
      </c>
      <c r="AR6" s="32">
        <f>IF(ISNUMBER(AQ6) = TRUE, AQ6*10^AQ$9*1000/AQ$10, "N/A")</f>
        <v>8600000</v>
      </c>
    </row>
    <row r="7" spans="2:44" ht="15" x14ac:dyDescent="0.45">
      <c r="B7" s="12" t="s">
        <v>28</v>
      </c>
      <c r="C7" s="13">
        <v>49</v>
      </c>
      <c r="D7" s="14">
        <f>IF(ISNUMBER(C7) = TRUE, C7*10^C$9*1000/C$10, "N/A")</f>
        <v>980000000</v>
      </c>
      <c r="E7" s="15">
        <v>3</v>
      </c>
      <c r="F7" s="14">
        <f>IF(ISNUMBER(E7) = TRUE, E7*10^E$9*1000/E$10, "N/A")</f>
        <v>600000000</v>
      </c>
      <c r="I7" s="31" t="s">
        <v>28</v>
      </c>
      <c r="J7" s="15">
        <v>39</v>
      </c>
      <c r="K7" s="32">
        <f>IF(ISNUMBER(J7) = TRUE, J7*10^J$9*1000/J$10, "N/A")</f>
        <v>780000</v>
      </c>
      <c r="L7" s="15">
        <v>2</v>
      </c>
      <c r="M7" s="32">
        <f>IF(ISNUMBER(L7) = TRUE, L7*10^L$9*1000/L$10, "N/A")</f>
        <v>400000</v>
      </c>
      <c r="N7" s="27"/>
      <c r="O7" s="31" t="s">
        <v>28</v>
      </c>
      <c r="P7" s="15">
        <v>41</v>
      </c>
      <c r="Q7" s="32">
        <f>IF(ISNUMBER(P7) = TRUE, P7*10^P$9*1000/P$10, "N/A")</f>
        <v>820000</v>
      </c>
      <c r="R7" s="15"/>
      <c r="S7" s="32" t="str">
        <f>IF(ISNUMBER(R7) = TRUE, R7*10^R$9*1000/R$10, "N/A")</f>
        <v>N/A</v>
      </c>
      <c r="T7" s="27"/>
      <c r="U7" s="31" t="s">
        <v>28</v>
      </c>
      <c r="V7" s="15">
        <v>43</v>
      </c>
      <c r="W7" s="32">
        <f>IF(ISNUMBER(V7) = TRUE, V7*10^V$9*1000/V$10, "N/A")</f>
        <v>860000</v>
      </c>
      <c r="X7" s="15"/>
      <c r="Y7" s="32" t="str">
        <f>IF(ISNUMBER(X7) = TRUE, X7*10^X$9*1000/X$10, "N/A")</f>
        <v>N/A</v>
      </c>
      <c r="AB7" s="31" t="s">
        <v>28</v>
      </c>
      <c r="AC7" s="15">
        <v>125</v>
      </c>
      <c r="AD7" s="32">
        <f>IF(ISNUMBER(AC7) = TRUE, AC7*10^AC$9*1000/AC$10, "N/A")</f>
        <v>2500000</v>
      </c>
      <c r="AE7" s="15">
        <v>35</v>
      </c>
      <c r="AF7" s="32">
        <f>IF(ISNUMBER(AE7) = TRUE, AE7*10^AE$9*1000/AE$10, "N/A")</f>
        <v>7000000</v>
      </c>
      <c r="AG7" s="27"/>
      <c r="AH7" s="31" t="s">
        <v>28</v>
      </c>
      <c r="AI7" s="15">
        <v>147</v>
      </c>
      <c r="AJ7" s="32">
        <f>IF(ISNUMBER(AI7) = TRUE, AI7*10^AI$9*1000/AI$10, "N/A")</f>
        <v>2940000</v>
      </c>
      <c r="AK7" s="15">
        <v>40</v>
      </c>
      <c r="AL7" s="32">
        <f>IF(ISNUMBER(AK7) = TRUE, AK7*10^AK$9*1000/AK$10, "N/A")</f>
        <v>8000000</v>
      </c>
      <c r="AM7" s="27"/>
      <c r="AN7" s="31" t="s">
        <v>28</v>
      </c>
      <c r="AO7" s="15">
        <v>144</v>
      </c>
      <c r="AP7" s="32">
        <f>IF(ISNUMBER(AO7) = TRUE, AO7*10^AO$9*1000/AO$10, "N/A")</f>
        <v>2880000</v>
      </c>
      <c r="AQ7" s="15">
        <v>41</v>
      </c>
      <c r="AR7" s="32">
        <f>IF(ISNUMBER(AQ7) = TRUE, AQ7*10^AQ$9*1000/AQ$10, "N/A")</f>
        <v>8200000</v>
      </c>
    </row>
    <row r="8" spans="2:44" ht="15" x14ac:dyDescent="0.45">
      <c r="B8" s="16" t="s">
        <v>29</v>
      </c>
      <c r="C8" s="17"/>
      <c r="D8" s="14" t="str">
        <f>IF(ISNUMBER(C8) = TRUE, C8*10^C$9*1000/C$10, "N/A")</f>
        <v>N/A</v>
      </c>
      <c r="E8" s="17"/>
      <c r="F8" s="14" t="str">
        <f>IF(ISNUMBER(E8) = TRUE, E8*10^E$9*1000/E$10, "N/A")</f>
        <v>N/A</v>
      </c>
      <c r="I8" s="33" t="s">
        <v>29</v>
      </c>
      <c r="J8" s="25">
        <v>38</v>
      </c>
      <c r="K8" s="32">
        <f>IF(ISNUMBER(J8) = TRUE, J8*10^J$9*1000/J$10, "N/A")</f>
        <v>760000</v>
      </c>
      <c r="L8" s="25">
        <v>1</v>
      </c>
      <c r="M8" s="32">
        <f>IF(ISNUMBER(L8) = TRUE, L8*10^L$9*1000/L$10, "N/A")</f>
        <v>200000</v>
      </c>
      <c r="N8" s="27"/>
      <c r="O8" s="33" t="s">
        <v>29</v>
      </c>
      <c r="P8" s="25"/>
      <c r="Q8" s="32" t="str">
        <f>IF(ISNUMBER(P8) = TRUE, P8*10^P$9*1000/P$10, "N/A")</f>
        <v>N/A</v>
      </c>
      <c r="R8" s="25"/>
      <c r="S8" s="32" t="str">
        <f>IF(ISNUMBER(R8) = TRUE, R8*10^R$9*1000/R$10, "N/A")</f>
        <v>N/A</v>
      </c>
      <c r="T8" s="27"/>
      <c r="U8" s="33" t="s">
        <v>29</v>
      </c>
      <c r="V8" s="25"/>
      <c r="W8" s="32" t="str">
        <f>IF(ISNUMBER(V8) = TRUE, V8*10^V$9*1000/V$10, "N/A")</f>
        <v>N/A</v>
      </c>
      <c r="X8" s="25"/>
      <c r="Y8" s="32" t="str">
        <f>IF(ISNUMBER(X8) = TRUE, X8*10^X$9*1000/X$10, "N/A")</f>
        <v>N/A</v>
      </c>
      <c r="AB8" s="33" t="s">
        <v>29</v>
      </c>
      <c r="AC8" s="25">
        <v>118</v>
      </c>
      <c r="AD8" s="32">
        <f>IF(ISNUMBER(AC8) = TRUE, AC8*10^AC$9*1000/AC$10, "N/A")</f>
        <v>2360000</v>
      </c>
      <c r="AE8" s="25">
        <v>34</v>
      </c>
      <c r="AF8" s="32">
        <f>IF(ISNUMBER(AE8) = TRUE, AE8*10^AE$9*1000/AE$10, "N/A")</f>
        <v>6800000</v>
      </c>
      <c r="AG8" s="27"/>
      <c r="AH8" s="33" t="s">
        <v>29</v>
      </c>
      <c r="AI8" s="25">
        <v>139</v>
      </c>
      <c r="AJ8" s="32">
        <f>IF(ISNUMBER(AI8) = TRUE, AI8*10^AI$9*1000/AI$10, "N/A")</f>
        <v>2780000</v>
      </c>
      <c r="AK8" s="25">
        <v>41</v>
      </c>
      <c r="AL8" s="32">
        <f>IF(ISNUMBER(AK8) = TRUE, AK8*10^AK$9*1000/AK$10, "N/A")</f>
        <v>8200000</v>
      </c>
      <c r="AM8" s="27"/>
      <c r="AN8" s="33" t="s">
        <v>29</v>
      </c>
      <c r="AO8" s="25">
        <v>108</v>
      </c>
      <c r="AP8" s="32">
        <f>IF(ISNUMBER(AO8) = TRUE, AO8*10^AO$9*1000/AO$10, "N/A")</f>
        <v>2160000</v>
      </c>
      <c r="AQ8" s="25">
        <v>29</v>
      </c>
      <c r="AR8" s="32">
        <f>IF(ISNUMBER(AQ8) = TRUE, AQ8*10^AQ$9*1000/AQ$10, "N/A")</f>
        <v>5800000</v>
      </c>
    </row>
    <row r="9" spans="2:44" x14ac:dyDescent="0.4">
      <c r="B9" s="18" t="s">
        <v>17</v>
      </c>
      <c r="C9" s="49">
        <v>5</v>
      </c>
      <c r="D9" s="50"/>
      <c r="E9" s="51">
        <v>6</v>
      </c>
      <c r="F9" s="50"/>
      <c r="I9" s="34" t="s">
        <v>17</v>
      </c>
      <c r="J9" s="38">
        <v>2</v>
      </c>
      <c r="K9" s="39"/>
      <c r="L9" s="45">
        <v>3</v>
      </c>
      <c r="M9" s="39"/>
      <c r="N9" s="27"/>
      <c r="O9" s="34" t="s">
        <v>17</v>
      </c>
      <c r="P9" s="38">
        <v>2</v>
      </c>
      <c r="Q9" s="39"/>
      <c r="R9" s="45">
        <v>3</v>
      </c>
      <c r="S9" s="39"/>
      <c r="T9" s="27"/>
      <c r="U9" s="34" t="s">
        <v>17</v>
      </c>
      <c r="V9" s="38">
        <v>2</v>
      </c>
      <c r="W9" s="39"/>
      <c r="X9" s="45">
        <v>3</v>
      </c>
      <c r="Y9" s="39"/>
      <c r="AB9" s="34" t="s">
        <v>17</v>
      </c>
      <c r="AC9" s="38">
        <v>2</v>
      </c>
      <c r="AD9" s="39"/>
      <c r="AE9" s="45">
        <v>3</v>
      </c>
      <c r="AF9" s="39"/>
      <c r="AG9" s="27"/>
      <c r="AH9" s="34" t="s">
        <v>17</v>
      </c>
      <c r="AI9" s="38">
        <v>2</v>
      </c>
      <c r="AJ9" s="39"/>
      <c r="AK9" s="45">
        <v>3</v>
      </c>
      <c r="AL9" s="39"/>
      <c r="AM9" s="27"/>
      <c r="AN9" s="34" t="s">
        <v>17</v>
      </c>
      <c r="AO9" s="38">
        <v>2</v>
      </c>
      <c r="AP9" s="39"/>
      <c r="AQ9" s="45">
        <v>3</v>
      </c>
      <c r="AR9" s="39"/>
    </row>
    <row r="10" spans="2:44" x14ac:dyDescent="0.4">
      <c r="B10" s="16" t="s">
        <v>18</v>
      </c>
      <c r="C10" s="52">
        <v>5</v>
      </c>
      <c r="D10" s="53"/>
      <c r="E10" s="54">
        <v>5</v>
      </c>
      <c r="F10" s="53"/>
      <c r="I10" s="33" t="s">
        <v>18</v>
      </c>
      <c r="J10" s="42">
        <v>5</v>
      </c>
      <c r="K10" s="43"/>
      <c r="L10" s="44">
        <v>5</v>
      </c>
      <c r="M10" s="43"/>
      <c r="N10" s="27"/>
      <c r="O10" s="33" t="s">
        <v>18</v>
      </c>
      <c r="P10" s="42">
        <v>5</v>
      </c>
      <c r="Q10" s="43"/>
      <c r="R10" s="44">
        <v>5</v>
      </c>
      <c r="S10" s="43"/>
      <c r="T10" s="27"/>
      <c r="U10" s="33" t="s">
        <v>18</v>
      </c>
      <c r="V10" s="42">
        <v>5</v>
      </c>
      <c r="W10" s="43"/>
      <c r="X10" s="44">
        <v>5</v>
      </c>
      <c r="Y10" s="43"/>
      <c r="AB10" s="33" t="s">
        <v>18</v>
      </c>
      <c r="AC10" s="42">
        <v>5</v>
      </c>
      <c r="AD10" s="43"/>
      <c r="AE10" s="44">
        <v>5</v>
      </c>
      <c r="AF10" s="43"/>
      <c r="AG10" s="27"/>
      <c r="AH10" s="33" t="s">
        <v>18</v>
      </c>
      <c r="AI10" s="42">
        <v>5</v>
      </c>
      <c r="AJ10" s="43"/>
      <c r="AK10" s="44">
        <v>5</v>
      </c>
      <c r="AL10" s="43"/>
      <c r="AM10" s="27"/>
      <c r="AN10" s="33" t="s">
        <v>18</v>
      </c>
      <c r="AO10" s="42">
        <v>5</v>
      </c>
      <c r="AP10" s="43"/>
      <c r="AQ10" s="44">
        <v>5</v>
      </c>
      <c r="AR10" s="43"/>
    </row>
    <row r="11" spans="2:44" x14ac:dyDescent="0.4">
      <c r="B11" s="12" t="s">
        <v>13</v>
      </c>
      <c r="C11" s="13">
        <f>IF(ISBLANK(E4) = FALSE, (_xlfn.STDEV.P(D4:D8)^2+_xlfn.STDEV.P(F4:F8)^2)^(1/2), _xlfn.STDEV.P(D4:D8))</f>
        <v>108512672.07105352</v>
      </c>
      <c r="D11" s="19" t="s">
        <v>16</v>
      </c>
      <c r="E11" s="49">
        <v>24</v>
      </c>
      <c r="F11" s="50"/>
      <c r="I11" s="31" t="s">
        <v>13</v>
      </c>
      <c r="J11" s="13">
        <f>IF(ISBLANK(L4) = FALSE, (_xlfn.STDEV.P(K4:K8)^2+_xlfn.STDEV.P(M4:M8)^2)^(1/2), _xlfn.STDEV.P(K4:K8))</f>
        <v>234128.17002659035</v>
      </c>
      <c r="K11" s="35" t="s">
        <v>16</v>
      </c>
      <c r="L11" s="38">
        <v>0</v>
      </c>
      <c r="M11" s="39"/>
      <c r="N11" s="27"/>
      <c r="O11" s="31" t="s">
        <v>13</v>
      </c>
      <c r="P11" s="13">
        <f>IF(ISBLANK(R4) = FALSE, (_xlfn.STDEV.P(Q4:Q8)^2+_xlfn.STDEV.P(S4:S8)^2)^(1/2), _xlfn.STDEV.P(Q4:Q8))</f>
        <v>256704.54265988793</v>
      </c>
      <c r="Q11" s="35" t="s">
        <v>16</v>
      </c>
      <c r="R11" s="38">
        <f>1/60</f>
        <v>1.6666666666666666E-2</v>
      </c>
      <c r="S11" s="39"/>
      <c r="T11" s="27"/>
      <c r="U11" s="31" t="s">
        <v>13</v>
      </c>
      <c r="V11" s="13">
        <f>IF(ISBLANK(X4) = FALSE, (_xlfn.STDEV.P(W4:W8)^2+_xlfn.STDEV.P(Y4:Y8)^2)^(1/2), _xlfn.STDEV.P(W4:W8))</f>
        <v>121506.74421154115</v>
      </c>
      <c r="W11" s="35" t="s">
        <v>16</v>
      </c>
      <c r="X11" s="38">
        <f>1/60</f>
        <v>1.6666666666666666E-2</v>
      </c>
      <c r="Y11" s="39"/>
      <c r="AB11" s="31" t="s">
        <v>13</v>
      </c>
      <c r="AC11" s="13">
        <f>IF(ISBLANK(AE4) = FALSE, (_xlfn.STDEV.P(AD4:AD8)^2+_xlfn.STDEV.P(AF4:AF8)^2)^(1/2), _xlfn.STDEV.P(AD4:AD8))</f>
        <v>812758.26664513245</v>
      </c>
      <c r="AD11" s="35" t="s">
        <v>16</v>
      </c>
      <c r="AE11" s="38">
        <v>0</v>
      </c>
      <c r="AF11" s="39"/>
      <c r="AG11" s="27"/>
      <c r="AH11" s="31" t="s">
        <v>13</v>
      </c>
      <c r="AI11" s="13">
        <f>IF(ISBLANK(AK4) = FALSE, (_xlfn.STDEV.P(AJ4:AJ8)^2+_xlfn.STDEV.P(AL4:AL8)^2)^(1/2), _xlfn.STDEV.P(AJ4:AJ8))</f>
        <v>856168.20777228114</v>
      </c>
      <c r="AJ11" s="35" t="s">
        <v>16</v>
      </c>
      <c r="AK11" s="38">
        <f>1/60</f>
        <v>1.6666666666666666E-2</v>
      </c>
      <c r="AL11" s="39"/>
      <c r="AM11" s="27"/>
      <c r="AN11" s="31" t="s">
        <v>13</v>
      </c>
      <c r="AO11" s="13">
        <f>IF(ISBLANK(AQ4) = FALSE, (_xlfn.STDEV.P(AP4:AP8)^2+_xlfn.STDEV.P(AR4:AR8)^2)^(1/2), _xlfn.STDEV.P(AP4:AP8))</f>
        <v>1013398.2435350872</v>
      </c>
      <c r="AP11" s="35" t="s">
        <v>16</v>
      </c>
      <c r="AQ11" s="38">
        <f>1/60</f>
        <v>1.6666666666666666E-2</v>
      </c>
      <c r="AR11" s="39"/>
    </row>
    <row r="12" spans="2:44" ht="14.25" thickBot="1" x14ac:dyDescent="0.45">
      <c r="B12" s="20" t="s">
        <v>19</v>
      </c>
      <c r="C12" s="21">
        <f>(AVERAGE(D4:D8)+AVERAGE(F4:F8))/2</f>
        <v>907500000</v>
      </c>
      <c r="D12" s="22" t="s">
        <v>20</v>
      </c>
      <c r="E12" s="55">
        <f>0</f>
        <v>0</v>
      </c>
      <c r="F12" s="56"/>
      <c r="I12" s="36" t="s">
        <v>19</v>
      </c>
      <c r="J12" s="21">
        <f>(AVERAGE(K4:K8)+AVERAGE(M4:M8))/2</f>
        <v>554000</v>
      </c>
      <c r="K12" s="37" t="s">
        <v>20</v>
      </c>
      <c r="L12" s="40">
        <f>0</f>
        <v>0</v>
      </c>
      <c r="M12" s="41"/>
      <c r="N12" s="27"/>
      <c r="O12" s="36" t="s">
        <v>19</v>
      </c>
      <c r="P12" s="21">
        <f>(AVERAGE(Q4:Q8)+AVERAGE(S4:S8))/2</f>
        <v>659166.66666666674</v>
      </c>
      <c r="Q12" s="37" t="s">
        <v>20</v>
      </c>
      <c r="R12" s="40">
        <v>25</v>
      </c>
      <c r="S12" s="41"/>
      <c r="T12" s="27"/>
      <c r="U12" s="36" t="s">
        <v>19</v>
      </c>
      <c r="V12" s="21">
        <f>(AVERAGE(W4:W8)+AVERAGE(Y4:Y8))/2</f>
        <v>669166.66666666674</v>
      </c>
      <c r="W12" s="37" t="s">
        <v>20</v>
      </c>
      <c r="X12" s="40">
        <v>50</v>
      </c>
      <c r="Y12" s="41"/>
      <c r="AB12" s="36" t="s">
        <v>19</v>
      </c>
      <c r="AC12" s="21">
        <f>(AVERAGE(AD4:AD8)+AVERAGE(AF4:AF8))/2</f>
        <v>4374000</v>
      </c>
      <c r="AD12" s="37" t="s">
        <v>20</v>
      </c>
      <c r="AE12" s="40">
        <f>0</f>
        <v>0</v>
      </c>
      <c r="AF12" s="41"/>
      <c r="AG12" s="27"/>
      <c r="AH12" s="36" t="s">
        <v>19</v>
      </c>
      <c r="AI12" s="21">
        <f>(AVERAGE(AJ4:AJ8)+AVERAGE(AL4:AL8))/2</f>
        <v>5248000</v>
      </c>
      <c r="AJ12" s="37" t="s">
        <v>20</v>
      </c>
      <c r="AK12" s="40">
        <v>25</v>
      </c>
      <c r="AL12" s="41"/>
      <c r="AM12" s="27"/>
      <c r="AN12" s="36" t="s">
        <v>19</v>
      </c>
      <c r="AO12" s="21">
        <f>(AVERAGE(AP4:AP8)+AVERAGE(AR4:AR8))/2</f>
        <v>4884000</v>
      </c>
      <c r="AP12" s="37" t="s">
        <v>20</v>
      </c>
      <c r="AQ12" s="40">
        <v>50</v>
      </c>
      <c r="AR12" s="41"/>
    </row>
    <row r="13" spans="2:44" ht="14.25" thickBot="1" x14ac:dyDescent="0.45"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</row>
    <row r="14" spans="2:44" x14ac:dyDescent="0.4">
      <c r="B14" s="9"/>
      <c r="C14" s="10" t="s">
        <v>22</v>
      </c>
      <c r="D14" s="11" t="s">
        <v>21</v>
      </c>
      <c r="E14" s="10" t="s">
        <v>22</v>
      </c>
      <c r="F14" s="11" t="s">
        <v>21</v>
      </c>
      <c r="I14" s="28"/>
      <c r="J14" s="29" t="s">
        <v>22</v>
      </c>
      <c r="K14" s="30" t="s">
        <v>21</v>
      </c>
      <c r="L14" s="29" t="s">
        <v>22</v>
      </c>
      <c r="M14" s="30" t="s">
        <v>21</v>
      </c>
      <c r="N14" s="27"/>
      <c r="O14" s="28"/>
      <c r="P14" s="29" t="s">
        <v>22</v>
      </c>
      <c r="Q14" s="30" t="s">
        <v>21</v>
      </c>
      <c r="R14" s="29" t="s">
        <v>22</v>
      </c>
      <c r="S14" s="30" t="s">
        <v>21</v>
      </c>
      <c r="T14" s="27"/>
      <c r="U14" s="28"/>
      <c r="V14" s="29" t="s">
        <v>22</v>
      </c>
      <c r="W14" s="30" t="s">
        <v>21</v>
      </c>
      <c r="X14" s="29" t="s">
        <v>22</v>
      </c>
      <c r="Y14" s="30" t="s">
        <v>21</v>
      </c>
      <c r="AB14" s="28"/>
      <c r="AC14" s="29" t="s">
        <v>22</v>
      </c>
      <c r="AD14" s="30" t="s">
        <v>21</v>
      </c>
      <c r="AE14" s="29" t="s">
        <v>22</v>
      </c>
      <c r="AF14" s="30" t="s">
        <v>21</v>
      </c>
      <c r="AG14" s="27"/>
      <c r="AH14" s="28"/>
      <c r="AI14" s="29" t="s">
        <v>22</v>
      </c>
      <c r="AJ14" s="30" t="s">
        <v>21</v>
      </c>
      <c r="AK14" s="29" t="s">
        <v>22</v>
      </c>
      <c r="AL14" s="30" t="s">
        <v>21</v>
      </c>
      <c r="AM14" s="27"/>
      <c r="AN14" s="28"/>
      <c r="AO14" s="29" t="s">
        <v>22</v>
      </c>
      <c r="AP14" s="30" t="s">
        <v>21</v>
      </c>
      <c r="AQ14" s="29" t="s">
        <v>22</v>
      </c>
      <c r="AR14" s="30" t="s">
        <v>21</v>
      </c>
    </row>
    <row r="15" spans="2:44" ht="15" x14ac:dyDescent="0.45">
      <c r="B15" s="12" t="s">
        <v>25</v>
      </c>
      <c r="C15" s="13">
        <v>123</v>
      </c>
      <c r="D15" s="14">
        <f>IF(ISNUMBER(C15) = TRUE, C15*10^C$9*1000/C$10, "N/A")</f>
        <v>2460000000</v>
      </c>
      <c r="E15" s="15">
        <v>15</v>
      </c>
      <c r="F15" s="14">
        <f>IF(ISNUMBER(E15) = TRUE, E15*10^E$9*1000/E$10, "N/A")</f>
        <v>3000000000</v>
      </c>
      <c r="I15" s="31" t="s">
        <v>25</v>
      </c>
      <c r="J15" s="15">
        <v>56</v>
      </c>
      <c r="K15" s="32">
        <f>IF(ISNUMBER(J15) = TRUE, J15*10^J$20*1000/J$21, "N/A")</f>
        <v>1120000</v>
      </c>
      <c r="L15" s="15">
        <v>7</v>
      </c>
      <c r="M15" s="32">
        <f>IF(ISNUMBER(L15) = TRUE, L15*10^L$20*1000/L$21, "N/A")</f>
        <v>1400000</v>
      </c>
      <c r="N15" s="27"/>
      <c r="O15" s="31" t="s">
        <v>25</v>
      </c>
      <c r="P15" s="15">
        <v>59</v>
      </c>
      <c r="Q15" s="32">
        <f>IF(ISNUMBER(P15) = TRUE, P15*10^P$20*1000/P$21, "N/A")</f>
        <v>1180000</v>
      </c>
      <c r="R15" s="15">
        <v>7</v>
      </c>
      <c r="S15" s="32">
        <f>IF(ISNUMBER(R15) = TRUE, R15*10^R$20*1000/R$21, "N/A")</f>
        <v>1400000</v>
      </c>
      <c r="T15" s="27"/>
      <c r="U15" s="31" t="s">
        <v>25</v>
      </c>
      <c r="V15" s="15">
        <v>39</v>
      </c>
      <c r="W15" s="32">
        <f>IF(ISNUMBER(V15) = TRUE, V15*10^V$20*1000/V$21, "N/A")</f>
        <v>780000</v>
      </c>
      <c r="X15" s="15">
        <v>3</v>
      </c>
      <c r="Y15" s="32">
        <f>IF(ISNUMBER(X15) = TRUE, X15*10^X$20*1000/X$21, "N/A")</f>
        <v>600000</v>
      </c>
      <c r="AB15" s="31" t="s">
        <v>25</v>
      </c>
      <c r="AC15" s="15">
        <v>46</v>
      </c>
      <c r="AD15" s="32">
        <f>IF(ISNUMBER(AC15) = TRUE, AC15*10^AC$20*1000/AC$21, "N/A")</f>
        <v>9200000</v>
      </c>
      <c r="AE15" s="15">
        <v>41</v>
      </c>
      <c r="AF15" s="32">
        <f>IF(ISNUMBER(AE15) = TRUE, AE15*10^AE$20*1000/AE$21, "N/A")</f>
        <v>8200000</v>
      </c>
      <c r="AG15" s="27"/>
      <c r="AH15" s="31" t="s">
        <v>25</v>
      </c>
      <c r="AI15" s="15">
        <v>151</v>
      </c>
      <c r="AJ15" s="32">
        <f>IF(ISNUMBER(AI15) = TRUE, AI15*10^AI$20*1000/AI$21, "N/A")</f>
        <v>3020000</v>
      </c>
      <c r="AK15" s="15">
        <v>43</v>
      </c>
      <c r="AL15" s="32">
        <f>IF(ISNUMBER(AK15) = TRUE, AK15*10^AK$20*1000/AK$21, "N/A")</f>
        <v>8600000</v>
      </c>
      <c r="AM15" s="27"/>
      <c r="AN15" s="31" t="s">
        <v>25</v>
      </c>
      <c r="AO15" s="15">
        <v>98</v>
      </c>
      <c r="AP15" s="32">
        <f>IF(ISNUMBER(AO15) = TRUE, AO15*10^AO$20*1000/AO$21, "N/A")</f>
        <v>1960000</v>
      </c>
      <c r="AQ15" s="15">
        <v>26</v>
      </c>
      <c r="AR15" s="32">
        <f>IF(ISNUMBER(AQ15) = TRUE, AQ15*10^AQ$20*1000/AQ$21, "N/A")</f>
        <v>5200000</v>
      </c>
    </row>
    <row r="16" spans="2:44" ht="15" x14ac:dyDescent="0.45">
      <c r="B16" s="12" t="s">
        <v>26</v>
      </c>
      <c r="C16" s="13">
        <v>115</v>
      </c>
      <c r="D16" s="14">
        <f>IF(ISNUMBER(C16) = TRUE, C16*10^C$9*1000/C$10, "N/A")</f>
        <v>2300000000</v>
      </c>
      <c r="E16" s="15">
        <v>13</v>
      </c>
      <c r="F16" s="14">
        <f>IF(ISNUMBER(E16) = TRUE, E16*10^E$9*1000/E$10, "N/A")</f>
        <v>2600000000</v>
      </c>
      <c r="I16" s="31" t="s">
        <v>26</v>
      </c>
      <c r="J16" s="15">
        <v>53</v>
      </c>
      <c r="K16" s="32">
        <f t="shared" ref="K16:K19" si="0">IF(ISNUMBER(J16) = TRUE, J16*10^J$20*1000/J$21, "N/A")</f>
        <v>1060000</v>
      </c>
      <c r="L16" s="15">
        <v>8</v>
      </c>
      <c r="M16" s="32">
        <f>IF(ISNUMBER(L16) = TRUE, L16*10^L$20*1000/L$21, "N/A")</f>
        <v>1600000</v>
      </c>
      <c r="N16" s="27"/>
      <c r="O16" s="31" t="s">
        <v>26</v>
      </c>
      <c r="P16" s="15">
        <v>56</v>
      </c>
      <c r="Q16" s="32">
        <f t="shared" ref="Q16:Q19" si="1">IF(ISNUMBER(P16) = TRUE, P16*10^P$20*1000/P$21, "N/A")</f>
        <v>1120000</v>
      </c>
      <c r="R16" s="15">
        <v>5</v>
      </c>
      <c r="S16" s="32">
        <f t="shared" ref="S16:S19" si="2">IF(ISNUMBER(R16) = TRUE, R16*10^R$20*1000/R$21, "N/A")</f>
        <v>1000000</v>
      </c>
      <c r="T16" s="27"/>
      <c r="U16" s="31" t="s">
        <v>26</v>
      </c>
      <c r="V16" s="15">
        <v>44</v>
      </c>
      <c r="W16" s="32">
        <f t="shared" ref="W16:W19" si="3">IF(ISNUMBER(V16) = TRUE, V16*10^V$20*1000/V$21, "N/A")</f>
        <v>880000</v>
      </c>
      <c r="X16" s="15">
        <v>6</v>
      </c>
      <c r="Y16" s="32">
        <f t="shared" ref="Y16:Y19" si="4">IF(ISNUMBER(X16) = TRUE, X16*10^X$20*1000/X$21, "N/A")</f>
        <v>1200000</v>
      </c>
      <c r="AB16" s="31" t="s">
        <v>26</v>
      </c>
      <c r="AC16" s="15">
        <v>57</v>
      </c>
      <c r="AD16" s="32">
        <f t="shared" ref="AD16:AD19" si="5">IF(ISNUMBER(AC16) = TRUE, AC16*10^AC$20*1000/AC$21, "N/A")</f>
        <v>11400000</v>
      </c>
      <c r="AE16" s="15">
        <v>44</v>
      </c>
      <c r="AF16" s="32">
        <f>IF(ISNUMBER(AE16) = TRUE, AE16*10^AE$20*1000/AE$21, "N/A")</f>
        <v>8800000</v>
      </c>
      <c r="AG16" s="27"/>
      <c r="AH16" s="31" t="s">
        <v>26</v>
      </c>
      <c r="AI16" s="15">
        <v>122</v>
      </c>
      <c r="AJ16" s="32">
        <f>IF(ISNUMBER(AI16) = TRUE, AI16*10^AI$20*1000/AI$21, "N/A")</f>
        <v>2440000</v>
      </c>
      <c r="AK16" s="15">
        <v>49</v>
      </c>
      <c r="AL16" s="32">
        <f>IF(ISNUMBER(AK16) = TRUE, AK16*10^AK$20*1000/AK$21, "N/A")</f>
        <v>9800000</v>
      </c>
      <c r="AM16" s="27"/>
      <c r="AN16" s="31" t="s">
        <v>26</v>
      </c>
      <c r="AO16" s="15">
        <v>101</v>
      </c>
      <c r="AP16" s="32">
        <f t="shared" ref="AP16:AP19" si="6">IF(ISNUMBER(AO16) = TRUE, AO16*10^AO$20*1000/AO$21, "N/A")</f>
        <v>2020000</v>
      </c>
      <c r="AQ16" s="15">
        <v>32</v>
      </c>
      <c r="AR16" s="32">
        <f>IF(ISNUMBER(AQ16) = TRUE, AQ16*10^AQ$20*1000/AQ$21, "N/A")</f>
        <v>6400000</v>
      </c>
    </row>
    <row r="17" spans="2:44" ht="15" x14ac:dyDescent="0.45">
      <c r="B17" s="12" t="s">
        <v>27</v>
      </c>
      <c r="C17" s="15">
        <v>121</v>
      </c>
      <c r="D17" s="14">
        <f>IF(ISNUMBER(C17) = TRUE, C17*10^C$9*1000/C$10, "N/A")</f>
        <v>2420000000</v>
      </c>
      <c r="E17" s="15">
        <v>14</v>
      </c>
      <c r="F17" s="14">
        <f>IF(ISNUMBER(E17) = TRUE, E17*10^E$9*1000/E$10, "N/A")</f>
        <v>2800000000</v>
      </c>
      <c r="I17" s="31" t="s">
        <v>27</v>
      </c>
      <c r="J17" s="15">
        <v>67</v>
      </c>
      <c r="K17" s="32">
        <f t="shared" si="0"/>
        <v>1340000</v>
      </c>
      <c r="L17" s="15">
        <v>6</v>
      </c>
      <c r="M17" s="32">
        <f t="shared" ref="M17:M19" si="7">IF(ISNUMBER(L17) = TRUE, L17*10^L$20*1000/L$21, "N/A")</f>
        <v>1200000</v>
      </c>
      <c r="N17" s="27"/>
      <c r="O17" s="31" t="s">
        <v>27</v>
      </c>
      <c r="P17" s="15">
        <v>55</v>
      </c>
      <c r="Q17" s="32">
        <f t="shared" si="1"/>
        <v>1100000</v>
      </c>
      <c r="R17" s="15">
        <v>7</v>
      </c>
      <c r="S17" s="32">
        <f t="shared" si="2"/>
        <v>1400000</v>
      </c>
      <c r="T17" s="27"/>
      <c r="U17" s="31" t="s">
        <v>27</v>
      </c>
      <c r="V17" s="15">
        <v>45</v>
      </c>
      <c r="W17" s="32">
        <f t="shared" si="3"/>
        <v>900000</v>
      </c>
      <c r="X17" s="15">
        <v>6</v>
      </c>
      <c r="Y17" s="32">
        <f t="shared" si="4"/>
        <v>1200000</v>
      </c>
      <c r="AB17" s="31" t="s">
        <v>27</v>
      </c>
      <c r="AC17" s="15"/>
      <c r="AD17" s="32" t="str">
        <f t="shared" si="5"/>
        <v>N/A</v>
      </c>
      <c r="AE17" s="15">
        <v>40</v>
      </c>
      <c r="AF17" s="32">
        <f t="shared" ref="AF17:AF19" si="8">IF(ISNUMBER(AE17) = TRUE, AE17*10^AE$20*1000/AE$21, "N/A")</f>
        <v>8000000</v>
      </c>
      <c r="AG17" s="27"/>
      <c r="AH17" s="31" t="s">
        <v>27</v>
      </c>
      <c r="AI17" s="15">
        <v>128</v>
      </c>
      <c r="AJ17" s="32">
        <f t="shared" ref="AJ17:AJ19" si="9">IF(ISNUMBER(AI17) = TRUE, AI17*10^AI$20*1000/AI$21, "N/A")</f>
        <v>2560000</v>
      </c>
      <c r="AK17" s="15">
        <v>44</v>
      </c>
      <c r="AL17" s="32">
        <f t="shared" ref="AL17:AL19" si="10">IF(ISNUMBER(AK17) = TRUE, AK17*10^AK$20*1000/AK$21, "N/A")</f>
        <v>8800000</v>
      </c>
      <c r="AM17" s="27"/>
      <c r="AN17" s="31" t="s">
        <v>27</v>
      </c>
      <c r="AO17" s="15">
        <v>103</v>
      </c>
      <c r="AP17" s="32">
        <f t="shared" si="6"/>
        <v>2060000</v>
      </c>
      <c r="AQ17" s="15">
        <v>32</v>
      </c>
      <c r="AR17" s="32">
        <f t="shared" ref="AR17:AR19" si="11">IF(ISNUMBER(AQ17) = TRUE, AQ17*10^AQ$20*1000/AQ$21, "N/A")</f>
        <v>6400000</v>
      </c>
    </row>
    <row r="18" spans="2:44" ht="15" x14ac:dyDescent="0.45">
      <c r="B18" s="12" t="s">
        <v>28</v>
      </c>
      <c r="C18" s="23"/>
      <c r="D18" s="14" t="str">
        <f>IF(ISNUMBER(C18) = TRUE, C18*10^C$9*1000/C$10, "N/A")</f>
        <v>N/A</v>
      </c>
      <c r="E18" s="15">
        <v>14</v>
      </c>
      <c r="F18" s="14">
        <f>IF(ISNUMBER(E18) = TRUE, E18*10^E$9*1000/E$10, "N/A")</f>
        <v>2800000000</v>
      </c>
      <c r="I18" s="31" t="s">
        <v>28</v>
      </c>
      <c r="J18" s="15">
        <v>48</v>
      </c>
      <c r="K18" s="32">
        <f t="shared" si="0"/>
        <v>960000</v>
      </c>
      <c r="L18" s="15"/>
      <c r="M18" s="32" t="str">
        <f t="shared" si="7"/>
        <v>N/A</v>
      </c>
      <c r="N18" s="27"/>
      <c r="O18" s="31" t="s">
        <v>28</v>
      </c>
      <c r="P18" s="15"/>
      <c r="Q18" s="32" t="str">
        <f t="shared" si="1"/>
        <v>N/A</v>
      </c>
      <c r="R18" s="15"/>
      <c r="S18" s="32" t="str">
        <f t="shared" si="2"/>
        <v>N/A</v>
      </c>
      <c r="T18" s="27"/>
      <c r="U18" s="31" t="s">
        <v>28</v>
      </c>
      <c r="V18" s="15"/>
      <c r="W18" s="32" t="str">
        <f t="shared" si="3"/>
        <v>N/A</v>
      </c>
      <c r="X18" s="15">
        <v>6</v>
      </c>
      <c r="Y18" s="32">
        <f t="shared" si="4"/>
        <v>1200000</v>
      </c>
      <c r="AB18" s="31" t="s">
        <v>28</v>
      </c>
      <c r="AC18" s="15"/>
      <c r="AD18" s="32" t="str">
        <f t="shared" si="5"/>
        <v>N/A</v>
      </c>
      <c r="AE18" s="15"/>
      <c r="AF18" s="32" t="str">
        <f t="shared" si="8"/>
        <v>N/A</v>
      </c>
      <c r="AG18" s="27"/>
      <c r="AH18" s="31" t="s">
        <v>28</v>
      </c>
      <c r="AI18" s="15"/>
      <c r="AJ18" s="32" t="str">
        <f t="shared" si="9"/>
        <v>N/A</v>
      </c>
      <c r="AK18" s="15">
        <v>43</v>
      </c>
      <c r="AL18" s="32">
        <f t="shared" si="10"/>
        <v>8600000</v>
      </c>
      <c r="AM18" s="27"/>
      <c r="AN18" s="31" t="s">
        <v>28</v>
      </c>
      <c r="AO18" s="15"/>
      <c r="AP18" s="32" t="str">
        <f t="shared" si="6"/>
        <v>N/A</v>
      </c>
      <c r="AQ18" s="15"/>
      <c r="AR18" s="32" t="str">
        <f t="shared" si="11"/>
        <v>N/A</v>
      </c>
    </row>
    <row r="19" spans="2:44" ht="15" x14ac:dyDescent="0.45">
      <c r="B19" s="16" t="s">
        <v>29</v>
      </c>
      <c r="C19" s="24"/>
      <c r="D19" s="14" t="str">
        <f>IF(ISNUMBER(C19) = TRUE, C19*10^C$9*1000/C$10, "N/A")</f>
        <v>N/A</v>
      </c>
      <c r="E19" s="17"/>
      <c r="F19" s="14" t="str">
        <f>IF(ISNUMBER(E19) = TRUE, E19*10^E$9*1000/E$10, "N/A")</f>
        <v>N/A</v>
      </c>
      <c r="I19" s="33" t="s">
        <v>29</v>
      </c>
      <c r="J19" s="25"/>
      <c r="K19" s="32" t="str">
        <f t="shared" si="0"/>
        <v>N/A</v>
      </c>
      <c r="L19" s="25"/>
      <c r="M19" s="32" t="str">
        <f t="shared" si="7"/>
        <v>N/A</v>
      </c>
      <c r="N19" s="27"/>
      <c r="O19" s="33" t="s">
        <v>29</v>
      </c>
      <c r="P19" s="25"/>
      <c r="Q19" s="32" t="str">
        <f t="shared" si="1"/>
        <v>N/A</v>
      </c>
      <c r="R19" s="25"/>
      <c r="S19" s="32" t="str">
        <f t="shared" si="2"/>
        <v>N/A</v>
      </c>
      <c r="T19" s="27"/>
      <c r="U19" s="33" t="s">
        <v>29</v>
      </c>
      <c r="V19" s="25"/>
      <c r="W19" s="32" t="str">
        <f t="shared" si="3"/>
        <v>N/A</v>
      </c>
      <c r="X19" s="25"/>
      <c r="Y19" s="32" t="str">
        <f t="shared" si="4"/>
        <v>N/A</v>
      </c>
      <c r="AB19" s="33" t="s">
        <v>29</v>
      </c>
      <c r="AC19" s="25"/>
      <c r="AD19" s="32" t="str">
        <f t="shared" si="5"/>
        <v>N/A</v>
      </c>
      <c r="AE19" s="25"/>
      <c r="AF19" s="32" t="str">
        <f t="shared" si="8"/>
        <v>N/A</v>
      </c>
      <c r="AG19" s="27"/>
      <c r="AH19" s="33" t="s">
        <v>29</v>
      </c>
      <c r="AI19" s="25"/>
      <c r="AJ19" s="32" t="str">
        <f t="shared" si="9"/>
        <v>N/A</v>
      </c>
      <c r="AK19" s="25"/>
      <c r="AL19" s="32" t="str">
        <f t="shared" si="10"/>
        <v>N/A</v>
      </c>
      <c r="AM19" s="27"/>
      <c r="AN19" s="33" t="s">
        <v>29</v>
      </c>
      <c r="AO19" s="25"/>
      <c r="AP19" s="32" t="str">
        <f t="shared" si="6"/>
        <v>N/A</v>
      </c>
      <c r="AQ19" s="25"/>
      <c r="AR19" s="32" t="str">
        <f t="shared" si="11"/>
        <v>N/A</v>
      </c>
    </row>
    <row r="20" spans="2:44" x14ac:dyDescent="0.4">
      <c r="B20" s="18" t="s">
        <v>17</v>
      </c>
      <c r="C20" s="49">
        <v>5</v>
      </c>
      <c r="D20" s="50"/>
      <c r="E20" s="51">
        <v>6</v>
      </c>
      <c r="F20" s="50"/>
      <c r="I20" s="34" t="s">
        <v>17</v>
      </c>
      <c r="J20" s="38">
        <v>2</v>
      </c>
      <c r="K20" s="39"/>
      <c r="L20" s="45">
        <v>3</v>
      </c>
      <c r="M20" s="39"/>
      <c r="N20" s="27"/>
      <c r="O20" s="34" t="s">
        <v>17</v>
      </c>
      <c r="P20" s="38">
        <v>2</v>
      </c>
      <c r="Q20" s="39"/>
      <c r="R20" s="45">
        <v>3</v>
      </c>
      <c r="S20" s="39"/>
      <c r="T20" s="27"/>
      <c r="U20" s="34" t="s">
        <v>17</v>
      </c>
      <c r="V20" s="38">
        <v>2</v>
      </c>
      <c r="W20" s="39"/>
      <c r="X20" s="45">
        <v>3</v>
      </c>
      <c r="Y20" s="39"/>
      <c r="AB20" s="34" t="s">
        <v>17</v>
      </c>
      <c r="AC20" s="38">
        <v>3</v>
      </c>
      <c r="AD20" s="39"/>
      <c r="AE20" s="45">
        <v>3</v>
      </c>
      <c r="AF20" s="39"/>
      <c r="AG20" s="27"/>
      <c r="AH20" s="34" t="s">
        <v>17</v>
      </c>
      <c r="AI20" s="38">
        <v>2</v>
      </c>
      <c r="AJ20" s="39"/>
      <c r="AK20" s="45">
        <v>3</v>
      </c>
      <c r="AL20" s="39"/>
      <c r="AM20" s="27"/>
      <c r="AN20" s="34" t="s">
        <v>17</v>
      </c>
      <c r="AO20" s="38">
        <v>2</v>
      </c>
      <c r="AP20" s="39"/>
      <c r="AQ20" s="45">
        <v>3</v>
      </c>
      <c r="AR20" s="39"/>
    </row>
    <row r="21" spans="2:44" x14ac:dyDescent="0.4">
      <c r="B21" s="16" t="s">
        <v>18</v>
      </c>
      <c r="C21" s="52">
        <v>5</v>
      </c>
      <c r="D21" s="53"/>
      <c r="E21" s="54">
        <v>5</v>
      </c>
      <c r="F21" s="53"/>
      <c r="I21" s="33" t="s">
        <v>18</v>
      </c>
      <c r="J21" s="42">
        <v>5</v>
      </c>
      <c r="K21" s="43"/>
      <c r="L21" s="44">
        <v>5</v>
      </c>
      <c r="M21" s="43"/>
      <c r="N21" s="27"/>
      <c r="O21" s="33" t="s">
        <v>18</v>
      </c>
      <c r="P21" s="42">
        <v>5</v>
      </c>
      <c r="Q21" s="43"/>
      <c r="R21" s="44">
        <v>5</v>
      </c>
      <c r="S21" s="43"/>
      <c r="T21" s="27"/>
      <c r="U21" s="33" t="s">
        <v>18</v>
      </c>
      <c r="V21" s="42">
        <v>5</v>
      </c>
      <c r="W21" s="43"/>
      <c r="X21" s="44">
        <v>5</v>
      </c>
      <c r="Y21" s="43"/>
      <c r="AB21" s="33" t="s">
        <v>18</v>
      </c>
      <c r="AC21" s="42">
        <v>5</v>
      </c>
      <c r="AD21" s="43"/>
      <c r="AE21" s="44">
        <v>5</v>
      </c>
      <c r="AF21" s="43"/>
      <c r="AG21" s="27"/>
      <c r="AH21" s="33" t="s">
        <v>18</v>
      </c>
      <c r="AI21" s="42">
        <v>5</v>
      </c>
      <c r="AJ21" s="43"/>
      <c r="AK21" s="44">
        <v>5</v>
      </c>
      <c r="AL21" s="43"/>
      <c r="AM21" s="27"/>
      <c r="AN21" s="33" t="s">
        <v>18</v>
      </c>
      <c r="AO21" s="42">
        <v>5</v>
      </c>
      <c r="AP21" s="43"/>
      <c r="AQ21" s="44">
        <v>5</v>
      </c>
      <c r="AR21" s="43"/>
    </row>
    <row r="22" spans="2:44" x14ac:dyDescent="0.4">
      <c r="B22" s="12" t="s">
        <v>13</v>
      </c>
      <c r="C22" s="13">
        <f>IF(ISBLANK(E15) = FALSE, (_xlfn.STDEV.P(D15:D19)^2+_xlfn.STDEV.P(F15:F19)^2)^(1/2), _xlfn.STDEV.P(D15:D19))</f>
        <v>156914697.2791976</v>
      </c>
      <c r="D22" s="19" t="s">
        <v>16</v>
      </c>
      <c r="E22" s="49">
        <v>24</v>
      </c>
      <c r="F22" s="50"/>
      <c r="I22" s="31" t="s">
        <v>13</v>
      </c>
      <c r="J22" s="13">
        <f>IF(ISBLANK(L15) = FALSE, (_xlfn.STDEV.P(K15:K19)^2+_xlfn.STDEV.P(M15:M19)^2)^(1/2), _xlfn.STDEV.P(K15:K19))</f>
        <v>214631.46709340331</v>
      </c>
      <c r="K22" s="35" t="s">
        <v>16</v>
      </c>
      <c r="L22" s="38">
        <v>0.25</v>
      </c>
      <c r="M22" s="39"/>
      <c r="N22" s="27"/>
      <c r="O22" s="31" t="s">
        <v>13</v>
      </c>
      <c r="P22" s="13">
        <f>IF(ISBLANK(R15) = FALSE, (_xlfn.STDEV.P(Q15:Q19)^2+_xlfn.STDEV.P(S15:S19)^2)^(1/2), _xlfn.STDEV.P(Q15:Q19))</f>
        <v>191601.43817599886</v>
      </c>
      <c r="Q22" s="35" t="s">
        <v>16</v>
      </c>
      <c r="R22" s="38">
        <v>0.25</v>
      </c>
      <c r="S22" s="39"/>
      <c r="T22" s="27"/>
      <c r="U22" s="31" t="s">
        <v>13</v>
      </c>
      <c r="V22" s="13">
        <f>IF(ISBLANK(X15) = FALSE, (_xlfn.STDEV.P(W15:W19)^2+_xlfn.STDEV.P(Y15:Y19)^2)^(1/2), _xlfn.STDEV.P(W15:W19))</f>
        <v>265057.64572174777</v>
      </c>
      <c r="W22" s="35" t="s">
        <v>16</v>
      </c>
      <c r="X22" s="38">
        <v>0.25</v>
      </c>
      <c r="Y22" s="39"/>
      <c r="AB22" s="31" t="s">
        <v>13</v>
      </c>
      <c r="AC22" s="13">
        <f>IF(ISBLANK(AE15) = FALSE, (_xlfn.STDEV.P(AD15:AD19)^2+_xlfn.STDEV.P(AF15:AF19)^2)^(1/2), _xlfn.STDEV.P(AD15:AD19))</f>
        <v>1151327.735944703</v>
      </c>
      <c r="AD22" s="35" t="s">
        <v>16</v>
      </c>
      <c r="AE22" s="38">
        <v>0.25</v>
      </c>
      <c r="AF22" s="39"/>
      <c r="AG22" s="27"/>
      <c r="AH22" s="31" t="s">
        <v>13</v>
      </c>
      <c r="AI22" s="13">
        <f>IF(ISBLANK(AK15) = FALSE, (_xlfn.STDEV.P(AJ15:AJ19)^2+_xlfn.STDEV.P(AL15:AL19)^2)^(1/2), _xlfn.STDEV.P(AJ15:AJ19))</f>
        <v>556766.45812125655</v>
      </c>
      <c r="AJ22" s="35" t="s">
        <v>16</v>
      </c>
      <c r="AK22" s="38">
        <v>0.25</v>
      </c>
      <c r="AL22" s="39"/>
      <c r="AM22" s="27"/>
      <c r="AN22" s="31" t="s">
        <v>13</v>
      </c>
      <c r="AO22" s="13">
        <f>IF(ISBLANK(AQ15) = FALSE, (_xlfn.STDEV.P(AP15:AP19)^2+_xlfn.STDEV.P(AR15:AR19)^2)^(1/2), _xlfn.STDEV.P(AP15:AP19))</f>
        <v>567176.24147075217</v>
      </c>
      <c r="AP22" s="35" t="s">
        <v>16</v>
      </c>
      <c r="AQ22" s="38">
        <v>0.25</v>
      </c>
      <c r="AR22" s="39"/>
    </row>
    <row r="23" spans="2:44" ht="14.25" thickBot="1" x14ac:dyDescent="0.45">
      <c r="B23" s="20" t="s">
        <v>19</v>
      </c>
      <c r="C23" s="21">
        <f>(AVERAGE(D15:D19)+AVERAGE(F15:F19))/2</f>
        <v>2596666666.666667</v>
      </c>
      <c r="D23" s="22" t="s">
        <v>20</v>
      </c>
      <c r="E23" s="55">
        <v>10</v>
      </c>
      <c r="F23" s="56"/>
      <c r="I23" s="36" t="s">
        <v>19</v>
      </c>
      <c r="J23" s="21">
        <f>(AVERAGE(K15:K19)+AVERAGE(M15:M19))/2</f>
        <v>1260000</v>
      </c>
      <c r="K23" s="37" t="s">
        <v>20</v>
      </c>
      <c r="L23" s="40">
        <f>0</f>
        <v>0</v>
      </c>
      <c r="M23" s="41"/>
      <c r="N23" s="27"/>
      <c r="O23" s="36" t="s">
        <v>19</v>
      </c>
      <c r="P23" s="21">
        <f>(AVERAGE(Q15:Q19))</f>
        <v>1133333.3333333333</v>
      </c>
      <c r="Q23" s="37" t="s">
        <v>20</v>
      </c>
      <c r="R23" s="40">
        <v>25</v>
      </c>
      <c r="S23" s="41"/>
      <c r="T23" s="27"/>
      <c r="U23" s="36" t="s">
        <v>19</v>
      </c>
      <c r="V23" s="21">
        <f>(AVERAGE(W15:W19)+AVERAGE(Y15:Y19))/2</f>
        <v>951666.66666666674</v>
      </c>
      <c r="W23" s="37" t="s">
        <v>20</v>
      </c>
      <c r="X23" s="40">
        <v>50</v>
      </c>
      <c r="Y23" s="41"/>
      <c r="AB23" s="36" t="s">
        <v>19</v>
      </c>
      <c r="AC23" s="21">
        <f>(AVERAGE(AD15:AD19)+AVERAGE(AF15:AF19))/2</f>
        <v>9316666.666666666</v>
      </c>
      <c r="AD23" s="37" t="s">
        <v>20</v>
      </c>
      <c r="AE23" s="40">
        <f>0</f>
        <v>0</v>
      </c>
      <c r="AF23" s="41"/>
      <c r="AG23" s="27"/>
      <c r="AH23" s="36" t="s">
        <v>19</v>
      </c>
      <c r="AI23" s="21">
        <f>(AVERAGE(AJ15:AJ19)+AVERAGE(AL15:AL19))/2</f>
        <v>5811666.666666667</v>
      </c>
      <c r="AJ23" s="37" t="s">
        <v>20</v>
      </c>
      <c r="AK23" s="40">
        <v>25</v>
      </c>
      <c r="AL23" s="41"/>
      <c r="AM23" s="27"/>
      <c r="AN23" s="36" t="s">
        <v>19</v>
      </c>
      <c r="AO23" s="21">
        <f>(AVERAGE(AP15:AP19)+AVERAGE(AR15:AR19))/2</f>
        <v>4006666.6666666665</v>
      </c>
      <c r="AP23" s="37" t="s">
        <v>20</v>
      </c>
      <c r="AQ23" s="40">
        <v>50</v>
      </c>
      <c r="AR23" s="41"/>
    </row>
    <row r="24" spans="2:44" ht="14.25" thickBot="1" x14ac:dyDescent="0.45"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</row>
    <row r="25" spans="2:44" x14ac:dyDescent="0.4">
      <c r="B25" s="9"/>
      <c r="C25" s="10" t="s">
        <v>22</v>
      </c>
      <c r="D25" s="11" t="s">
        <v>21</v>
      </c>
      <c r="E25" s="10" t="s">
        <v>22</v>
      </c>
      <c r="F25" s="11" t="s">
        <v>21</v>
      </c>
      <c r="I25" s="28"/>
      <c r="J25" s="29" t="s">
        <v>22</v>
      </c>
      <c r="K25" s="30" t="s">
        <v>21</v>
      </c>
      <c r="L25" s="29" t="s">
        <v>22</v>
      </c>
      <c r="M25" s="30" t="s">
        <v>21</v>
      </c>
      <c r="N25" s="27"/>
      <c r="O25" s="28"/>
      <c r="P25" s="29" t="s">
        <v>22</v>
      </c>
      <c r="Q25" s="30" t="s">
        <v>21</v>
      </c>
      <c r="R25" s="29" t="s">
        <v>22</v>
      </c>
      <c r="S25" s="30" t="s">
        <v>21</v>
      </c>
      <c r="T25" s="27"/>
      <c r="U25" s="28"/>
      <c r="V25" s="29" t="s">
        <v>22</v>
      </c>
      <c r="W25" s="30" t="s">
        <v>21</v>
      </c>
      <c r="X25" s="29" t="s">
        <v>22</v>
      </c>
      <c r="Y25" s="30" t="s">
        <v>21</v>
      </c>
      <c r="AB25" s="28"/>
      <c r="AC25" s="29" t="s">
        <v>22</v>
      </c>
      <c r="AD25" s="30" t="s">
        <v>21</v>
      </c>
      <c r="AE25" s="29" t="s">
        <v>22</v>
      </c>
      <c r="AF25" s="30" t="s">
        <v>21</v>
      </c>
      <c r="AG25" s="27"/>
      <c r="AH25" s="28"/>
      <c r="AI25" s="29" t="s">
        <v>22</v>
      </c>
      <c r="AJ25" s="30" t="s">
        <v>21</v>
      </c>
      <c r="AK25" s="29" t="s">
        <v>22</v>
      </c>
      <c r="AL25" s="30" t="s">
        <v>21</v>
      </c>
      <c r="AM25" s="27"/>
      <c r="AN25" s="28"/>
      <c r="AO25" s="29" t="s">
        <v>22</v>
      </c>
      <c r="AP25" s="30" t="s">
        <v>21</v>
      </c>
      <c r="AQ25" s="29" t="s">
        <v>22</v>
      </c>
      <c r="AR25" s="30" t="s">
        <v>21</v>
      </c>
    </row>
    <row r="26" spans="2:44" ht="15" x14ac:dyDescent="0.45">
      <c r="B26" s="12" t="s">
        <v>25</v>
      </c>
      <c r="C26" s="13">
        <v>104</v>
      </c>
      <c r="D26" s="14">
        <f>IF(ISNUMBER(C26) = TRUE, C26*10^C$9*1000/C$10, "N/A")</f>
        <v>2080000000</v>
      </c>
      <c r="E26" s="15">
        <v>15</v>
      </c>
      <c r="F26" s="14">
        <f>IF(ISNUMBER(E26) = TRUE, E26*10^E$9*1000/E$10, "N/A")</f>
        <v>3000000000</v>
      </c>
      <c r="I26" s="31" t="s">
        <v>25</v>
      </c>
      <c r="J26" s="15">
        <v>62</v>
      </c>
      <c r="K26" s="32">
        <f>IF(ISNUMBER(J26) = TRUE, J26*10^J$31*1000/J$32, "N/A")</f>
        <v>1240000</v>
      </c>
      <c r="L26" s="15">
        <v>8</v>
      </c>
      <c r="M26" s="32">
        <f>IF(ISNUMBER(L26) = TRUE, L26*10^L$31*1000/L$32, "N/A")</f>
        <v>1600000</v>
      </c>
      <c r="N26" s="27"/>
      <c r="O26" s="31" t="s">
        <v>25</v>
      </c>
      <c r="P26" s="15">
        <v>50</v>
      </c>
      <c r="Q26" s="32">
        <f>IF(ISNUMBER(P26) = TRUE, P26*10^P$31*1000/P$32, "N/A")</f>
        <v>1000000</v>
      </c>
      <c r="R26" s="15">
        <v>2</v>
      </c>
      <c r="S26" s="32">
        <f>IF(ISNUMBER(R26) = TRUE, R26*10^R$31*1000/R$32, "N/A")</f>
        <v>400000</v>
      </c>
      <c r="T26" s="27"/>
      <c r="U26" s="31" t="s">
        <v>25</v>
      </c>
      <c r="V26" s="15">
        <v>40</v>
      </c>
      <c r="W26" s="32">
        <f>IF(ISNUMBER(V26) = TRUE, V26*10^V$31*1000/V$32, "N/A")</f>
        <v>800000</v>
      </c>
      <c r="X26" s="15">
        <v>4</v>
      </c>
      <c r="Y26" s="32">
        <f>IF(ISNUMBER(X26) = TRUE, X26*10^X$31*1000/X$32, "N/A")</f>
        <v>800000</v>
      </c>
      <c r="AB26" s="31" t="s">
        <v>25</v>
      </c>
      <c r="AC26" s="15">
        <v>87</v>
      </c>
      <c r="AD26" s="32">
        <f>IF(ISNUMBER(AC26) = TRUE, AC26*10^AC$31*1000/AC$32, "N/A")</f>
        <v>17400000</v>
      </c>
      <c r="AE26" s="15">
        <v>71</v>
      </c>
      <c r="AF26" s="32">
        <f>IF(ISNUMBER(AE26) = TRUE, AE26*10^AE$31*1000/AE$32, "N/A")</f>
        <v>14200000</v>
      </c>
      <c r="AG26" s="27"/>
      <c r="AH26" s="31" t="s">
        <v>25</v>
      </c>
      <c r="AI26" s="15">
        <v>53</v>
      </c>
      <c r="AJ26" s="32">
        <v>10600000</v>
      </c>
      <c r="AK26" s="13"/>
      <c r="AL26" s="32" t="str">
        <f t="shared" ref="AL26:AL30" si="12">IF(ISNUMBER(AK26) = TRUE, AK26*10^AK$31*1000/AK$32, "N/A")</f>
        <v>N/A</v>
      </c>
      <c r="AM26" s="27"/>
      <c r="AN26" s="31" t="s">
        <v>25</v>
      </c>
      <c r="AO26" s="15"/>
      <c r="AP26" s="32" t="str">
        <f>IF(ISNUMBER(AO26) = TRUE, AO26*10^AO$31*1000/AO$32, "N/A")</f>
        <v>N/A</v>
      </c>
      <c r="AQ26" s="15">
        <v>51</v>
      </c>
      <c r="AR26" s="32">
        <f>IF(ISNUMBER(AQ26) = TRUE, AQ26*10^AQ$31*1000/AQ$32, "N/A")</f>
        <v>10200000</v>
      </c>
    </row>
    <row r="27" spans="2:44" ht="15" x14ac:dyDescent="0.45">
      <c r="B27" s="12" t="s">
        <v>26</v>
      </c>
      <c r="C27" s="13">
        <v>99</v>
      </c>
      <c r="D27" s="14">
        <f>IF(ISNUMBER(C27) = TRUE, C27*10^C$9*1000/C$10, "N/A")</f>
        <v>1980000000</v>
      </c>
      <c r="E27" s="15">
        <v>13</v>
      </c>
      <c r="F27" s="14">
        <f>IF(ISNUMBER(E27) = TRUE, E27*10^E$9*1000/E$10, "N/A")</f>
        <v>2600000000</v>
      </c>
      <c r="I27" s="31" t="s">
        <v>26</v>
      </c>
      <c r="J27" s="15">
        <v>60</v>
      </c>
      <c r="K27" s="32">
        <f t="shared" ref="K27" si="13">IF(ISNUMBER(J27) = TRUE, J27*10^J$31*1000/J$32, "N/A")</f>
        <v>1200000</v>
      </c>
      <c r="L27" s="15">
        <v>6</v>
      </c>
      <c r="M27" s="32">
        <f t="shared" ref="M27:M30" si="14">IF(ISNUMBER(L27) = TRUE, L27*10^L$31*1000/L$32, "N/A")</f>
        <v>1200000</v>
      </c>
      <c r="N27" s="27"/>
      <c r="O27" s="31" t="s">
        <v>26</v>
      </c>
      <c r="P27" s="15">
        <v>53</v>
      </c>
      <c r="Q27" s="32">
        <f t="shared" ref="Q27:Q30" si="15">IF(ISNUMBER(P27) = TRUE, P27*10^P$31*1000/P$32, "N/A")</f>
        <v>1060000</v>
      </c>
      <c r="R27" s="15">
        <v>6</v>
      </c>
      <c r="S27" s="32">
        <f t="shared" ref="S27:S30" si="16">IF(ISNUMBER(R27) = TRUE, R27*10^R$31*1000/R$32, "N/A")</f>
        <v>1200000</v>
      </c>
      <c r="T27" s="27"/>
      <c r="U27" s="31" t="s">
        <v>26</v>
      </c>
      <c r="V27" s="15">
        <v>51</v>
      </c>
      <c r="W27" s="32">
        <f t="shared" ref="W27:W30" si="17">IF(ISNUMBER(V27) = TRUE, V27*10^V$31*1000/V$32, "N/A")</f>
        <v>1020000</v>
      </c>
      <c r="X27" s="15">
        <v>4</v>
      </c>
      <c r="Y27" s="32">
        <f t="shared" ref="Y27:Y30" si="18">IF(ISNUMBER(X27) = TRUE, X27*10^X$31*1000/X$32, "N/A")</f>
        <v>800000</v>
      </c>
      <c r="AB27" s="31" t="s">
        <v>26</v>
      </c>
      <c r="AC27" s="15">
        <v>84</v>
      </c>
      <c r="AD27" s="32">
        <f t="shared" ref="AD27" si="19">IF(ISNUMBER(AC27) = TRUE, AC27*10^AC$31*1000/AC$32, "N/A")</f>
        <v>16800000</v>
      </c>
      <c r="AE27" s="15">
        <v>57</v>
      </c>
      <c r="AF27" s="32">
        <f t="shared" ref="AF27:AF30" si="20">IF(ISNUMBER(AE27) = TRUE, AE27*10^AE$31*1000/AE$32, "N/A")</f>
        <v>11400000</v>
      </c>
      <c r="AG27" s="27"/>
      <c r="AH27" s="31" t="s">
        <v>26</v>
      </c>
      <c r="AI27" s="15">
        <v>57</v>
      </c>
      <c r="AJ27" s="32">
        <v>11400000</v>
      </c>
      <c r="AK27" s="13"/>
      <c r="AL27" s="32" t="str">
        <f t="shared" si="12"/>
        <v>N/A</v>
      </c>
      <c r="AM27" s="27"/>
      <c r="AN27" s="31" t="s">
        <v>26</v>
      </c>
      <c r="AO27" s="15"/>
      <c r="AP27" s="32" t="str">
        <f t="shared" ref="AP27:AP30" si="21">IF(ISNUMBER(AO27) = TRUE, AO27*10^AO$31*1000/AO$32, "N/A")</f>
        <v>N/A</v>
      </c>
      <c r="AQ27" s="15">
        <v>53</v>
      </c>
      <c r="AR27" s="32">
        <f t="shared" ref="AR27:AR30" si="22">IF(ISNUMBER(AQ27) = TRUE, AQ27*10^AQ$31*1000/AQ$32, "N/A")</f>
        <v>10600000</v>
      </c>
    </row>
    <row r="28" spans="2:44" ht="15" x14ac:dyDescent="0.45">
      <c r="B28" s="12" t="s">
        <v>27</v>
      </c>
      <c r="C28" s="13">
        <v>105</v>
      </c>
      <c r="D28" s="14">
        <f>IF(ISNUMBER(C28) = TRUE, C28*10^C$9*1000/C$10, "N/A")</f>
        <v>2100000000</v>
      </c>
      <c r="E28" s="15">
        <v>11</v>
      </c>
      <c r="F28" s="14">
        <f>IF(ISNUMBER(E28) = TRUE, E28*10^E$9*1000/E$10, "N/A")</f>
        <v>2200000000</v>
      </c>
      <c r="I28" s="31" t="s">
        <v>27</v>
      </c>
      <c r="J28" s="15">
        <v>59</v>
      </c>
      <c r="K28" s="32">
        <f>IF(ISNUMBER(J28) = TRUE, J28*10^J$31*1000/J$32, "N/A")</f>
        <v>1180000</v>
      </c>
      <c r="L28" s="15">
        <v>7</v>
      </c>
      <c r="M28" s="32">
        <f t="shared" si="14"/>
        <v>1400000</v>
      </c>
      <c r="N28" s="27"/>
      <c r="O28" s="31" t="s">
        <v>27</v>
      </c>
      <c r="P28" s="15">
        <v>45</v>
      </c>
      <c r="Q28" s="32">
        <f t="shared" si="15"/>
        <v>900000</v>
      </c>
      <c r="R28" s="15">
        <v>7</v>
      </c>
      <c r="S28" s="32">
        <f t="shared" si="16"/>
        <v>1400000</v>
      </c>
      <c r="T28" s="27"/>
      <c r="U28" s="31" t="s">
        <v>27</v>
      </c>
      <c r="V28" s="15">
        <v>56</v>
      </c>
      <c r="W28" s="32">
        <f t="shared" si="17"/>
        <v>1120000</v>
      </c>
      <c r="X28" s="15">
        <v>4</v>
      </c>
      <c r="Y28" s="32">
        <f t="shared" si="18"/>
        <v>800000</v>
      </c>
      <c r="AB28" s="31" t="s">
        <v>27</v>
      </c>
      <c r="AC28" s="15"/>
      <c r="AD28" s="32" t="str">
        <f>IF(ISNUMBER(AC28) = TRUE, AC28*10^AC$31*1000/AC$32, "N/A")</f>
        <v>N/A</v>
      </c>
      <c r="AE28" s="15">
        <v>65</v>
      </c>
      <c r="AF28" s="32">
        <f t="shared" si="20"/>
        <v>13000000</v>
      </c>
      <c r="AG28" s="27"/>
      <c r="AH28" s="31" t="s">
        <v>27</v>
      </c>
      <c r="AI28" s="15">
        <v>58</v>
      </c>
      <c r="AJ28" s="32">
        <f t="shared" ref="AJ28:AJ30" si="23">IF(ISNUMBER(AI28) = TRUE, AI28*10^AI$31*1000/AI$32, "N/A")</f>
        <v>11600000</v>
      </c>
      <c r="AK28" s="15"/>
      <c r="AL28" s="32" t="str">
        <f t="shared" si="12"/>
        <v>N/A</v>
      </c>
      <c r="AM28" s="27"/>
      <c r="AN28" s="31" t="s">
        <v>27</v>
      </c>
      <c r="AO28" s="15"/>
      <c r="AP28" s="32" t="str">
        <f t="shared" si="21"/>
        <v>N/A</v>
      </c>
      <c r="AQ28" s="15">
        <v>55</v>
      </c>
      <c r="AR28" s="32">
        <f t="shared" si="22"/>
        <v>11000000</v>
      </c>
    </row>
    <row r="29" spans="2:44" ht="15" x14ac:dyDescent="0.45">
      <c r="B29" s="12" t="s">
        <v>28</v>
      </c>
      <c r="C29" s="15"/>
      <c r="D29" s="14" t="str">
        <f>IF(ISNUMBER(C29) = TRUE, C29*10^C$9*1000/C$10, "N/A")</f>
        <v>N/A</v>
      </c>
      <c r="E29" s="15"/>
      <c r="F29" s="14" t="str">
        <f>IF(ISNUMBER(E29) = TRUE, E29*10^E$9*1000/E$10, "N/A")</f>
        <v>N/A</v>
      </c>
      <c r="I29" s="31" t="s">
        <v>28</v>
      </c>
      <c r="J29" s="15">
        <v>62</v>
      </c>
      <c r="K29" s="32">
        <f t="shared" ref="K29:K30" si="24">IF(ISNUMBER(J29) = TRUE, J29*10^J$31*1000/J$32, "N/A")</f>
        <v>1240000</v>
      </c>
      <c r="L29" s="15">
        <v>12</v>
      </c>
      <c r="M29" s="32">
        <f t="shared" si="14"/>
        <v>2400000</v>
      </c>
      <c r="N29" s="27"/>
      <c r="O29" s="31" t="s">
        <v>28</v>
      </c>
      <c r="P29" s="15"/>
      <c r="Q29" s="32" t="str">
        <f t="shared" si="15"/>
        <v>N/A</v>
      </c>
      <c r="R29" s="15">
        <v>6</v>
      </c>
      <c r="S29" s="32">
        <f t="shared" si="16"/>
        <v>1200000</v>
      </c>
      <c r="T29" s="27"/>
      <c r="U29" s="31" t="s">
        <v>28</v>
      </c>
      <c r="V29" s="15">
        <v>45</v>
      </c>
      <c r="W29" s="32">
        <f t="shared" si="17"/>
        <v>900000</v>
      </c>
      <c r="X29" s="15">
        <v>5</v>
      </c>
      <c r="Y29" s="32">
        <f t="shared" si="18"/>
        <v>1000000</v>
      </c>
      <c r="AB29" s="31" t="s">
        <v>28</v>
      </c>
      <c r="AC29" s="15"/>
      <c r="AD29" s="32" t="str">
        <f t="shared" ref="AD29:AD30" si="25">IF(ISNUMBER(AC29) = TRUE, AC29*10^AC$31*1000/AC$32, "N/A")</f>
        <v>N/A</v>
      </c>
      <c r="AE29" s="15"/>
      <c r="AF29" s="32" t="str">
        <f t="shared" si="20"/>
        <v>N/A</v>
      </c>
      <c r="AG29" s="27"/>
      <c r="AH29" s="31" t="s">
        <v>28</v>
      </c>
      <c r="AI29" s="15"/>
      <c r="AJ29" s="32" t="str">
        <f t="shared" si="23"/>
        <v>N/A</v>
      </c>
      <c r="AK29" s="15"/>
      <c r="AL29" s="32" t="str">
        <f t="shared" si="12"/>
        <v>N/A</v>
      </c>
      <c r="AM29" s="27"/>
      <c r="AN29" s="31" t="s">
        <v>28</v>
      </c>
      <c r="AO29" s="15"/>
      <c r="AP29" s="32" t="str">
        <f t="shared" si="21"/>
        <v>N/A</v>
      </c>
      <c r="AQ29" s="15"/>
      <c r="AR29" s="32" t="str">
        <f t="shared" si="22"/>
        <v>N/A</v>
      </c>
    </row>
    <row r="30" spans="2:44" ht="15" x14ac:dyDescent="0.45">
      <c r="B30" s="16" t="s">
        <v>29</v>
      </c>
      <c r="C30" s="25"/>
      <c r="D30" s="14" t="str">
        <f>IF(ISNUMBER(C30) = TRUE, C30*10^C$9*1000/C$10, "N/A")</f>
        <v>N/A</v>
      </c>
      <c r="E30" s="17"/>
      <c r="F30" s="14" t="str">
        <f>IF(ISNUMBER(E30) = TRUE, E30*10^E$9*1000/E$10, "N/A")</f>
        <v>N/A</v>
      </c>
      <c r="I30" s="33" t="s">
        <v>29</v>
      </c>
      <c r="J30" s="25">
        <v>59</v>
      </c>
      <c r="K30" s="32">
        <f t="shared" si="24"/>
        <v>1180000</v>
      </c>
      <c r="L30" s="25">
        <v>6</v>
      </c>
      <c r="M30" s="32">
        <f t="shared" si="14"/>
        <v>1200000</v>
      </c>
      <c r="N30" s="27"/>
      <c r="O30" s="33" t="s">
        <v>29</v>
      </c>
      <c r="P30" s="25"/>
      <c r="Q30" s="32" t="str">
        <f t="shared" si="15"/>
        <v>N/A</v>
      </c>
      <c r="R30" s="25"/>
      <c r="S30" s="32" t="str">
        <f t="shared" si="16"/>
        <v>N/A</v>
      </c>
      <c r="T30" s="27"/>
      <c r="U30" s="33" t="s">
        <v>29</v>
      </c>
      <c r="V30" s="25"/>
      <c r="W30" s="32" t="str">
        <f t="shared" si="17"/>
        <v>N/A</v>
      </c>
      <c r="X30" s="25"/>
      <c r="Y30" s="32" t="str">
        <f t="shared" si="18"/>
        <v>N/A</v>
      </c>
      <c r="AB30" s="33" t="s">
        <v>29</v>
      </c>
      <c r="AC30" s="25"/>
      <c r="AD30" s="32" t="str">
        <f t="shared" si="25"/>
        <v>N/A</v>
      </c>
      <c r="AE30" s="25"/>
      <c r="AF30" s="32" t="str">
        <f t="shared" si="20"/>
        <v>N/A</v>
      </c>
      <c r="AG30" s="27"/>
      <c r="AH30" s="33" t="s">
        <v>29</v>
      </c>
      <c r="AI30" s="25"/>
      <c r="AJ30" s="32" t="str">
        <f t="shared" si="23"/>
        <v>N/A</v>
      </c>
      <c r="AK30" s="25"/>
      <c r="AL30" s="32" t="str">
        <f t="shared" si="12"/>
        <v>N/A</v>
      </c>
      <c r="AM30" s="27"/>
      <c r="AN30" s="33" t="s">
        <v>29</v>
      </c>
      <c r="AO30" s="25"/>
      <c r="AP30" s="32" t="str">
        <f t="shared" si="21"/>
        <v>N/A</v>
      </c>
      <c r="AQ30" s="25"/>
      <c r="AR30" s="32" t="str">
        <f t="shared" si="22"/>
        <v>N/A</v>
      </c>
    </row>
    <row r="31" spans="2:44" x14ac:dyDescent="0.4">
      <c r="B31" s="18" t="s">
        <v>17</v>
      </c>
      <c r="C31" s="49">
        <v>5</v>
      </c>
      <c r="D31" s="50"/>
      <c r="E31" s="51">
        <v>6</v>
      </c>
      <c r="F31" s="50"/>
      <c r="I31" s="34" t="s">
        <v>17</v>
      </c>
      <c r="J31" s="38">
        <v>2</v>
      </c>
      <c r="K31" s="39"/>
      <c r="L31" s="45">
        <v>3</v>
      </c>
      <c r="M31" s="39"/>
      <c r="N31" s="27"/>
      <c r="O31" s="34" t="s">
        <v>17</v>
      </c>
      <c r="P31" s="38">
        <v>2</v>
      </c>
      <c r="Q31" s="39"/>
      <c r="R31" s="45">
        <v>3</v>
      </c>
      <c r="S31" s="39"/>
      <c r="T31" s="27"/>
      <c r="U31" s="34" t="s">
        <v>17</v>
      </c>
      <c r="V31" s="38">
        <v>2</v>
      </c>
      <c r="W31" s="39"/>
      <c r="X31" s="45">
        <v>3</v>
      </c>
      <c r="Y31" s="39"/>
      <c r="AB31" s="34" t="s">
        <v>17</v>
      </c>
      <c r="AC31" s="38">
        <v>3</v>
      </c>
      <c r="AD31" s="39"/>
      <c r="AE31" s="45">
        <v>3</v>
      </c>
      <c r="AF31" s="39"/>
      <c r="AG31" s="27"/>
      <c r="AH31" s="34" t="s">
        <v>17</v>
      </c>
      <c r="AI31" s="38">
        <v>3</v>
      </c>
      <c r="AJ31" s="39"/>
      <c r="AK31" s="45"/>
      <c r="AL31" s="39"/>
      <c r="AM31" s="27"/>
      <c r="AN31" s="34" t="s">
        <v>17</v>
      </c>
      <c r="AO31" s="38">
        <v>3</v>
      </c>
      <c r="AP31" s="39"/>
      <c r="AQ31" s="45">
        <v>3</v>
      </c>
      <c r="AR31" s="39"/>
    </row>
    <row r="32" spans="2:44" x14ac:dyDescent="0.4">
      <c r="B32" s="16" t="s">
        <v>18</v>
      </c>
      <c r="C32" s="52">
        <v>5</v>
      </c>
      <c r="D32" s="53"/>
      <c r="E32" s="54">
        <v>5</v>
      </c>
      <c r="F32" s="53"/>
      <c r="I32" s="33" t="s">
        <v>18</v>
      </c>
      <c r="J32" s="42">
        <v>5</v>
      </c>
      <c r="K32" s="43"/>
      <c r="L32" s="44">
        <v>5</v>
      </c>
      <c r="M32" s="43"/>
      <c r="N32" s="27"/>
      <c r="O32" s="33" t="s">
        <v>18</v>
      </c>
      <c r="P32" s="42">
        <v>5</v>
      </c>
      <c r="Q32" s="43"/>
      <c r="R32" s="44">
        <v>5</v>
      </c>
      <c r="S32" s="43"/>
      <c r="T32" s="27"/>
      <c r="U32" s="33" t="s">
        <v>18</v>
      </c>
      <c r="V32" s="42">
        <v>5</v>
      </c>
      <c r="W32" s="43"/>
      <c r="X32" s="44">
        <v>5</v>
      </c>
      <c r="Y32" s="43"/>
      <c r="AB32" s="33" t="s">
        <v>18</v>
      </c>
      <c r="AC32" s="42">
        <v>5</v>
      </c>
      <c r="AD32" s="43"/>
      <c r="AE32" s="44">
        <v>5</v>
      </c>
      <c r="AF32" s="43"/>
      <c r="AG32" s="27"/>
      <c r="AH32" s="33" t="s">
        <v>18</v>
      </c>
      <c r="AI32" s="42">
        <v>5</v>
      </c>
      <c r="AJ32" s="43"/>
      <c r="AK32" s="44">
        <v>5</v>
      </c>
      <c r="AL32" s="43"/>
      <c r="AM32" s="27"/>
      <c r="AN32" s="33" t="s">
        <v>18</v>
      </c>
      <c r="AO32" s="42">
        <v>5</v>
      </c>
      <c r="AP32" s="43"/>
      <c r="AQ32" s="44">
        <v>5</v>
      </c>
      <c r="AR32" s="43"/>
    </row>
    <row r="33" spans="2:44" x14ac:dyDescent="0.4">
      <c r="B33" s="12" t="s">
        <v>13</v>
      </c>
      <c r="C33" s="13">
        <f>IF(ISBLANK(E26) = FALSE, (_xlfn.STDEV.P(D26:D30)^2+_xlfn.STDEV.P(F26:F30)^2)^(1/2), _xlfn.STDEV.P(D26:D30))</f>
        <v>330790299.46814072</v>
      </c>
      <c r="D33" s="19" t="s">
        <v>16</v>
      </c>
      <c r="E33" s="49">
        <v>24</v>
      </c>
      <c r="F33" s="50"/>
      <c r="I33" s="31" t="s">
        <v>13</v>
      </c>
      <c r="J33" s="13">
        <f>IF(ISBLANK(L26) = FALSE, (_xlfn.STDEV.P(K26:K30)^2+_xlfn.STDEV.P(M26:M30)^2)^(1/2), _xlfn.STDEV.P(K26:K30))</f>
        <v>446246.56861425837</v>
      </c>
      <c r="K33" s="35" t="s">
        <v>16</v>
      </c>
      <c r="L33" s="38">
        <v>0.5</v>
      </c>
      <c r="M33" s="39"/>
      <c r="N33" s="27"/>
      <c r="O33" s="31" t="s">
        <v>13</v>
      </c>
      <c r="P33" s="13">
        <f>IF(ISBLANK(R26) = FALSE, (_xlfn.STDEV.P(Q26:Q30)^2+_xlfn.STDEV.P(S26:S30)^2)^(1/2), _xlfn.STDEV.P(Q26:Q30))</f>
        <v>389686.48367059836</v>
      </c>
      <c r="Q33" s="35" t="s">
        <v>16</v>
      </c>
      <c r="R33" s="38">
        <v>0.5</v>
      </c>
      <c r="S33" s="39"/>
      <c r="T33" s="27"/>
      <c r="U33" s="31" t="s">
        <v>13</v>
      </c>
      <c r="V33" s="13">
        <f>IF(ISBLANK(X26) = FALSE, (_xlfn.STDEV.P(W26:W30)^2+_xlfn.STDEV.P(Y26:Y30)^2)^(1/2), _xlfn.STDEV.P(W26:W30))</f>
        <v>148660.68747318507</v>
      </c>
      <c r="W33" s="35" t="s">
        <v>16</v>
      </c>
      <c r="X33" s="38">
        <v>0.5</v>
      </c>
      <c r="Y33" s="39"/>
      <c r="AB33" s="31" t="s">
        <v>13</v>
      </c>
      <c r="AC33" s="13">
        <f>IF(ISBLANK(AE26) = FALSE, (_xlfn.STDEV.P(AD26:AD30)^2+_xlfn.STDEV.P(AF26:AF30)^2)^(1/2), _xlfn.STDEV.P(AD26:AD30))</f>
        <v>1185561.2829185827</v>
      </c>
      <c r="AD33" s="35" t="s">
        <v>16</v>
      </c>
      <c r="AE33" s="38">
        <v>0.75</v>
      </c>
      <c r="AF33" s="39"/>
      <c r="AG33" s="27"/>
      <c r="AH33" s="31" t="s">
        <v>13</v>
      </c>
      <c r="AI33" s="13">
        <f>IF(ISBLANK(AI26) = TRUE, (_xlfn.STDEV.P(AJ26:AJ30)^2+_xlfn.STDEV.P(AL26:AL30)^2)^(1/2), _xlfn.STDEV.P(AJ26:AJ30))</f>
        <v>432049.37989385735</v>
      </c>
      <c r="AJ33" s="35" t="s">
        <v>16</v>
      </c>
      <c r="AK33" s="38">
        <v>0.75</v>
      </c>
      <c r="AL33" s="39"/>
      <c r="AM33" s="27"/>
      <c r="AN33" s="31" t="s">
        <v>13</v>
      </c>
      <c r="AO33" s="13">
        <f>IF(ISBLANK(AQ26) =TRUE, (_xlfn.STDEV.P(AP26:AP30)^2+_xlfn.STDEV.P(AR26:AR30)^2)^(1/2), _xlfn.STDEV.P(AR26:AR30))</f>
        <v>326598.63237109041</v>
      </c>
      <c r="AP33" s="35" t="s">
        <v>16</v>
      </c>
      <c r="AQ33" s="38">
        <v>0.75</v>
      </c>
      <c r="AR33" s="39"/>
    </row>
    <row r="34" spans="2:44" ht="14.25" thickBot="1" x14ac:dyDescent="0.45">
      <c r="B34" s="20" t="s">
        <v>19</v>
      </c>
      <c r="C34" s="21">
        <f>(AVERAGE(D26:D30)+AVERAGE(F26:F30))/2</f>
        <v>2326666666.6666665</v>
      </c>
      <c r="D34" s="22" t="s">
        <v>20</v>
      </c>
      <c r="E34" s="55">
        <v>25</v>
      </c>
      <c r="F34" s="56"/>
      <c r="I34" s="36" t="s">
        <v>19</v>
      </c>
      <c r="J34" s="21">
        <f>(AVERAGE(K26:K30)+AVERAGE(M26:M30))/2</f>
        <v>1384000</v>
      </c>
      <c r="K34" s="37" t="s">
        <v>20</v>
      </c>
      <c r="L34" s="40">
        <v>0</v>
      </c>
      <c r="M34" s="41"/>
      <c r="N34" s="27"/>
      <c r="O34" s="36" t="s">
        <v>19</v>
      </c>
      <c r="P34" s="21">
        <f>(AVERAGE(Q26:Q30)+AVERAGE(S26:S30))/2</f>
        <v>1018333.3333333333</v>
      </c>
      <c r="Q34" s="37" t="s">
        <v>20</v>
      </c>
      <c r="R34" s="40">
        <v>25</v>
      </c>
      <c r="S34" s="41"/>
      <c r="T34" s="27"/>
      <c r="U34" s="36" t="s">
        <v>19</v>
      </c>
      <c r="V34" s="21">
        <f>(AVERAGE(W26:W30)+AVERAGE(Y26:Y30))/2</f>
        <v>905000</v>
      </c>
      <c r="W34" s="37" t="s">
        <v>20</v>
      </c>
      <c r="X34" s="40">
        <v>50</v>
      </c>
      <c r="Y34" s="41"/>
      <c r="AB34" s="36" t="s">
        <v>19</v>
      </c>
      <c r="AC34" s="21">
        <f>(AVERAGE(AD26:AD30)+AVERAGE(AF26:AF30))/2</f>
        <v>14983333.333333332</v>
      </c>
      <c r="AD34" s="37" t="s">
        <v>20</v>
      </c>
      <c r="AE34" s="40">
        <v>0</v>
      </c>
      <c r="AF34" s="41"/>
      <c r="AG34" s="27"/>
      <c r="AH34" s="36" t="s">
        <v>19</v>
      </c>
      <c r="AI34" s="21">
        <f>AVERAGE(AJ26:AJ30)</f>
        <v>11200000</v>
      </c>
      <c r="AJ34" s="37" t="s">
        <v>20</v>
      </c>
      <c r="AK34" s="40">
        <v>25</v>
      </c>
      <c r="AL34" s="41"/>
      <c r="AM34" s="27"/>
      <c r="AN34" s="36" t="s">
        <v>19</v>
      </c>
      <c r="AO34" s="21">
        <f>AVERAGE(AR26:AR30)</f>
        <v>10600000</v>
      </c>
      <c r="AP34" s="37" t="s">
        <v>20</v>
      </c>
      <c r="AQ34" s="40">
        <v>50</v>
      </c>
      <c r="AR34" s="41"/>
    </row>
    <row r="35" spans="2:44" ht="14.25" thickBot="1" x14ac:dyDescent="0.45"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</row>
    <row r="36" spans="2:44" x14ac:dyDescent="0.4">
      <c r="B36" s="9"/>
      <c r="C36" s="10" t="s">
        <v>22</v>
      </c>
      <c r="D36" s="11" t="s">
        <v>21</v>
      </c>
      <c r="E36" s="10" t="s">
        <v>22</v>
      </c>
      <c r="F36" s="11" t="s">
        <v>21</v>
      </c>
      <c r="I36" s="28"/>
      <c r="J36" s="29" t="s">
        <v>22</v>
      </c>
      <c r="K36" s="30" t="s">
        <v>21</v>
      </c>
      <c r="L36" s="29" t="s">
        <v>22</v>
      </c>
      <c r="M36" s="30" t="s">
        <v>21</v>
      </c>
      <c r="N36" s="27"/>
      <c r="O36" s="28"/>
      <c r="P36" s="29" t="s">
        <v>22</v>
      </c>
      <c r="Q36" s="30" t="s">
        <v>21</v>
      </c>
      <c r="R36" s="29" t="s">
        <v>22</v>
      </c>
      <c r="S36" s="30" t="s">
        <v>21</v>
      </c>
      <c r="T36" s="27"/>
      <c r="U36" s="28"/>
      <c r="V36" s="29" t="s">
        <v>22</v>
      </c>
      <c r="W36" s="30" t="s">
        <v>21</v>
      </c>
      <c r="X36" s="29" t="s">
        <v>22</v>
      </c>
      <c r="Y36" s="30" t="s">
        <v>21</v>
      </c>
      <c r="AB36" s="28"/>
      <c r="AC36" s="29" t="s">
        <v>22</v>
      </c>
      <c r="AD36" s="30" t="s">
        <v>21</v>
      </c>
      <c r="AE36" s="29" t="s">
        <v>22</v>
      </c>
      <c r="AF36" s="30" t="s">
        <v>21</v>
      </c>
      <c r="AG36" s="27"/>
      <c r="AH36" s="28"/>
      <c r="AI36" s="29" t="s">
        <v>22</v>
      </c>
      <c r="AJ36" s="30" t="s">
        <v>21</v>
      </c>
      <c r="AK36" s="29" t="s">
        <v>22</v>
      </c>
      <c r="AL36" s="30" t="s">
        <v>21</v>
      </c>
      <c r="AM36" s="27"/>
      <c r="AN36" s="28"/>
      <c r="AO36" s="29" t="s">
        <v>22</v>
      </c>
      <c r="AP36" s="30" t="s">
        <v>21</v>
      </c>
      <c r="AQ36" s="29" t="s">
        <v>22</v>
      </c>
      <c r="AR36" s="30" t="s">
        <v>21</v>
      </c>
    </row>
    <row r="37" spans="2:44" ht="15" x14ac:dyDescent="0.45">
      <c r="B37" s="12" t="s">
        <v>25</v>
      </c>
      <c r="C37" s="13">
        <v>83</v>
      </c>
      <c r="D37" s="14">
        <f>IF(ISNUMBER(C37) = TRUE, C37*10^C$9*1000/C$10, "N/A")</f>
        <v>1660000000</v>
      </c>
      <c r="E37" s="13">
        <v>11</v>
      </c>
      <c r="F37" s="14">
        <f>IF(ISNUMBER(E37) = TRUE, E37*10^E$9*1000/E$10, "N/A")</f>
        <v>2200000000</v>
      </c>
      <c r="I37" s="31" t="s">
        <v>25</v>
      </c>
      <c r="J37" s="15">
        <v>61</v>
      </c>
      <c r="K37" s="32">
        <f>IF(ISNUMBER(J37) = TRUE, J37*10^J$42*1000/J$43, "N/A")</f>
        <v>1220000</v>
      </c>
      <c r="L37" s="15">
        <v>8</v>
      </c>
      <c r="M37" s="32">
        <f>IF(ISNUMBER(L37) = TRUE, L37*10^L$42*1000/L$43, "N/A")</f>
        <v>1600000</v>
      </c>
      <c r="N37" s="27"/>
      <c r="O37" s="31" t="s">
        <v>25</v>
      </c>
      <c r="P37" s="15">
        <v>55</v>
      </c>
      <c r="Q37" s="32">
        <f>IF(ISNUMBER(P37) = TRUE, P37*10^P$42*1000/P$43, "N/A")</f>
        <v>1100000</v>
      </c>
      <c r="R37" s="15">
        <v>3</v>
      </c>
      <c r="S37" s="32">
        <f>IF(ISNUMBER(R37) = TRUE, R37*10^R$42*1000/R$43, "N/A")</f>
        <v>600000</v>
      </c>
      <c r="T37" s="27"/>
      <c r="U37" s="31" t="s">
        <v>25</v>
      </c>
      <c r="V37" s="15">
        <v>56</v>
      </c>
      <c r="W37" s="32">
        <f>IF(ISNUMBER(V37) = TRUE, V37*10^V$42*1000/V$43, "N/A")</f>
        <v>1120000</v>
      </c>
      <c r="X37" s="15">
        <v>2</v>
      </c>
      <c r="Y37" s="32">
        <f>IF(ISNUMBER(X37) = TRUE, X37*10^X$42*1000/X$43, "N/A")</f>
        <v>400000</v>
      </c>
      <c r="AB37" s="31" t="s">
        <v>25</v>
      </c>
      <c r="AC37" s="15">
        <v>81</v>
      </c>
      <c r="AD37" s="32">
        <f>IF(ISNUMBER(AC37) = TRUE, AC37*10^AC$42*1000/AC$43, "N/A")</f>
        <v>16200000</v>
      </c>
      <c r="AE37" s="15">
        <v>7</v>
      </c>
      <c r="AF37" s="32">
        <f>IF(ISNUMBER(AE37) = TRUE, AE37*10^AE$42*1000/AE$43, "N/A")</f>
        <v>14000000</v>
      </c>
      <c r="AG37" s="27"/>
      <c r="AH37" s="31" t="s">
        <v>25</v>
      </c>
      <c r="AI37" s="15">
        <v>70</v>
      </c>
      <c r="AJ37" s="32">
        <f>IF(ISNUMBER(AI37) = TRUE, AI37*10^AI$42*1000/AI$43, "N/A")</f>
        <v>14000000</v>
      </c>
      <c r="AK37" s="15">
        <v>58</v>
      </c>
      <c r="AL37" s="32">
        <f>IF(ISNUMBER(AK37) = TRUE, AK37*10^AK$42*1000/AK$43, "N/A")</f>
        <v>11600000</v>
      </c>
      <c r="AM37" s="27"/>
      <c r="AN37" s="31" t="s">
        <v>25</v>
      </c>
      <c r="AO37" s="15">
        <v>68</v>
      </c>
      <c r="AP37" s="32">
        <f>IF(ISNUMBER(AO37) = TRUE, AO37*10^AO$42*1000/AO$43, "N/A")</f>
        <v>13600000</v>
      </c>
      <c r="AQ37" s="15">
        <v>60</v>
      </c>
      <c r="AR37" s="32">
        <f>IF(ISNUMBER(AQ37) = TRUE, AQ37*10^AQ$42*1000/AQ$43, "N/A")</f>
        <v>12000000</v>
      </c>
    </row>
    <row r="38" spans="2:44" ht="15" x14ac:dyDescent="0.45">
      <c r="B38" s="12" t="s">
        <v>26</v>
      </c>
      <c r="C38" s="13">
        <v>92</v>
      </c>
      <c r="D38" s="14">
        <f>IF(ISNUMBER(C38) = TRUE, C38*10^C$9*1000/C$10, "N/A")</f>
        <v>1840000000</v>
      </c>
      <c r="E38" s="15">
        <v>12</v>
      </c>
      <c r="F38" s="14">
        <f>IF(ISNUMBER(E38) = TRUE, E38*10^E$9*1000/E$10, "N/A")</f>
        <v>2400000000</v>
      </c>
      <c r="I38" s="31" t="s">
        <v>26</v>
      </c>
      <c r="J38" s="15">
        <v>61</v>
      </c>
      <c r="K38" s="32">
        <f t="shared" ref="K38:K41" si="26">IF(ISNUMBER(J38) = TRUE, J38*10^J$42*1000/J$43, "N/A")</f>
        <v>1220000</v>
      </c>
      <c r="L38" s="15">
        <v>6</v>
      </c>
      <c r="M38" s="32">
        <f t="shared" ref="M38:M41" si="27">IF(ISNUMBER(L38) = TRUE, L38*10^L$42*1000/L$43, "N/A")</f>
        <v>1200000</v>
      </c>
      <c r="N38" s="27"/>
      <c r="O38" s="31" t="s">
        <v>26</v>
      </c>
      <c r="P38" s="15">
        <v>50</v>
      </c>
      <c r="Q38" s="32">
        <f t="shared" ref="Q38:Q41" si="28">IF(ISNUMBER(P38) = TRUE, P38*10^P$42*1000/P$43, "N/A")</f>
        <v>1000000</v>
      </c>
      <c r="R38" s="15">
        <v>6</v>
      </c>
      <c r="S38" s="32">
        <f t="shared" ref="S38:S41" si="29">IF(ISNUMBER(R38) = TRUE, R38*10^R$42*1000/R$43, "N/A")</f>
        <v>1200000</v>
      </c>
      <c r="T38" s="27"/>
      <c r="U38" s="31" t="s">
        <v>26</v>
      </c>
      <c r="V38" s="15">
        <v>54</v>
      </c>
      <c r="W38" s="32">
        <f t="shared" ref="W38:W41" si="30">IF(ISNUMBER(V38) = TRUE, V38*10^V$42*1000/V$43, "N/A")</f>
        <v>1080000</v>
      </c>
      <c r="X38" s="15">
        <v>4</v>
      </c>
      <c r="Y38" s="32">
        <f t="shared" ref="Y38:Y41" si="31">IF(ISNUMBER(X38) = TRUE, X38*10^X$42*1000/X$43, "N/A")</f>
        <v>800000</v>
      </c>
      <c r="AB38" s="31" t="s">
        <v>26</v>
      </c>
      <c r="AC38" s="15">
        <v>86</v>
      </c>
      <c r="AD38" s="32">
        <f t="shared" ref="AD38:AD41" si="32">IF(ISNUMBER(AC38) = TRUE, AC38*10^AC$42*1000/AC$43, "N/A")</f>
        <v>17200000</v>
      </c>
      <c r="AE38" s="15">
        <v>9</v>
      </c>
      <c r="AF38" s="32">
        <f t="shared" ref="AF38:AF41" si="33">IF(ISNUMBER(AE38) = TRUE, AE38*10^AE$42*1000/AE$43, "N/A")</f>
        <v>18000000</v>
      </c>
      <c r="AG38" s="27"/>
      <c r="AH38" s="31" t="s">
        <v>26</v>
      </c>
      <c r="AI38" s="15">
        <v>70</v>
      </c>
      <c r="AJ38" s="32">
        <f t="shared" ref="AJ38:AJ41" si="34">IF(ISNUMBER(AI38) = TRUE, AI38*10^AI$42*1000/AI$43, "N/A")</f>
        <v>14000000</v>
      </c>
      <c r="AK38" s="15">
        <v>65</v>
      </c>
      <c r="AL38" s="32">
        <f t="shared" ref="AL38:AL41" si="35">IF(ISNUMBER(AK38) = TRUE, AK38*10^AK$42*1000/AK$43, "N/A")</f>
        <v>13000000</v>
      </c>
      <c r="AM38" s="27"/>
      <c r="AN38" s="31" t="s">
        <v>26</v>
      </c>
      <c r="AO38" s="15">
        <v>65</v>
      </c>
      <c r="AP38" s="32">
        <f t="shared" ref="AP38:AP41" si="36">IF(ISNUMBER(AO38) = TRUE, AO38*10^AO$42*1000/AO$43, "N/A")</f>
        <v>13000000</v>
      </c>
      <c r="AQ38" s="15">
        <v>62</v>
      </c>
      <c r="AR38" s="32">
        <f t="shared" ref="AR38:AR41" si="37">IF(ISNUMBER(AQ38) = TRUE, AQ38*10^AQ$42*1000/AQ$43, "N/A")</f>
        <v>12400000</v>
      </c>
    </row>
    <row r="39" spans="2:44" ht="15" x14ac:dyDescent="0.45">
      <c r="B39" s="12" t="s">
        <v>27</v>
      </c>
      <c r="C39" s="13">
        <v>93</v>
      </c>
      <c r="D39" s="14">
        <f>IF(ISNUMBER(C39) = TRUE, C39*10^C$9*1000/C$10, "N/A")</f>
        <v>1860000000</v>
      </c>
      <c r="E39" s="13">
        <v>10</v>
      </c>
      <c r="F39" s="14">
        <f>IF(ISNUMBER(E39) = TRUE, E39*10^E$9*1000/E$10, "N/A")</f>
        <v>2000000000</v>
      </c>
      <c r="I39" s="31" t="s">
        <v>27</v>
      </c>
      <c r="J39" s="15">
        <v>74</v>
      </c>
      <c r="K39" s="32">
        <f t="shared" si="26"/>
        <v>1480000</v>
      </c>
      <c r="L39" s="15">
        <v>8</v>
      </c>
      <c r="M39" s="32">
        <f t="shared" si="27"/>
        <v>1600000</v>
      </c>
      <c r="N39" s="27"/>
      <c r="O39" s="31" t="s">
        <v>27</v>
      </c>
      <c r="P39" s="15">
        <v>45</v>
      </c>
      <c r="Q39" s="32">
        <f t="shared" si="28"/>
        <v>900000</v>
      </c>
      <c r="R39" s="15">
        <v>6</v>
      </c>
      <c r="S39" s="32">
        <f t="shared" si="29"/>
        <v>1200000</v>
      </c>
      <c r="T39" s="27"/>
      <c r="U39" s="31" t="s">
        <v>27</v>
      </c>
      <c r="V39" s="15">
        <v>49</v>
      </c>
      <c r="W39" s="32">
        <f t="shared" si="30"/>
        <v>980000</v>
      </c>
      <c r="X39" s="15">
        <v>2</v>
      </c>
      <c r="Y39" s="32">
        <f t="shared" si="31"/>
        <v>400000</v>
      </c>
      <c r="AB39" s="31" t="s">
        <v>27</v>
      </c>
      <c r="AC39" s="15">
        <v>82</v>
      </c>
      <c r="AD39" s="32">
        <f t="shared" si="32"/>
        <v>16400000</v>
      </c>
      <c r="AE39" s="15">
        <v>8</v>
      </c>
      <c r="AF39" s="32">
        <f t="shared" si="33"/>
        <v>16000000</v>
      </c>
      <c r="AG39" s="27"/>
      <c r="AH39" s="31" t="s">
        <v>27</v>
      </c>
      <c r="AI39" s="15">
        <v>67</v>
      </c>
      <c r="AJ39" s="32">
        <f t="shared" si="34"/>
        <v>13400000</v>
      </c>
      <c r="AK39" s="15"/>
      <c r="AL39" s="32" t="str">
        <f t="shared" si="35"/>
        <v>N/A</v>
      </c>
      <c r="AM39" s="27"/>
      <c r="AN39" s="31" t="s">
        <v>27</v>
      </c>
      <c r="AO39" s="15">
        <v>65</v>
      </c>
      <c r="AP39" s="32">
        <f t="shared" si="36"/>
        <v>13000000</v>
      </c>
      <c r="AQ39" s="15"/>
      <c r="AR39" s="32" t="str">
        <f t="shared" si="37"/>
        <v>N/A</v>
      </c>
    </row>
    <row r="40" spans="2:44" ht="15" x14ac:dyDescent="0.45">
      <c r="B40" s="12" t="s">
        <v>28</v>
      </c>
      <c r="C40" s="13">
        <v>87</v>
      </c>
      <c r="D40" s="14">
        <f>IF(ISNUMBER(C40) = TRUE, C40*10^C$9*1000/C$10, "N/A")</f>
        <v>1740000000</v>
      </c>
      <c r="E40" s="15"/>
      <c r="F40" s="14" t="str">
        <f>IF(ISNUMBER(E40) = TRUE, E40*10^E$9*1000/E$10, "N/A")</f>
        <v>N/A</v>
      </c>
      <c r="I40" s="31" t="s">
        <v>28</v>
      </c>
      <c r="J40" s="15">
        <v>62</v>
      </c>
      <c r="K40" s="32">
        <f t="shared" si="26"/>
        <v>1240000</v>
      </c>
      <c r="L40" s="15"/>
      <c r="M40" s="32" t="str">
        <f t="shared" si="27"/>
        <v>N/A</v>
      </c>
      <c r="N40" s="27"/>
      <c r="O40" s="31" t="s">
        <v>28</v>
      </c>
      <c r="P40" s="15">
        <v>51</v>
      </c>
      <c r="Q40" s="32">
        <f t="shared" si="28"/>
        <v>1020000</v>
      </c>
      <c r="R40" s="15">
        <v>6</v>
      </c>
      <c r="S40" s="32">
        <f t="shared" si="29"/>
        <v>1200000</v>
      </c>
      <c r="T40" s="27"/>
      <c r="U40" s="31" t="s">
        <v>28</v>
      </c>
      <c r="V40" s="15">
        <v>60</v>
      </c>
      <c r="W40" s="32">
        <f t="shared" si="30"/>
        <v>1200000</v>
      </c>
      <c r="X40" s="15">
        <v>3</v>
      </c>
      <c r="Y40" s="32">
        <f t="shared" si="31"/>
        <v>600000</v>
      </c>
      <c r="AB40" s="31" t="s">
        <v>28</v>
      </c>
      <c r="AC40" s="15">
        <v>87</v>
      </c>
      <c r="AD40" s="32">
        <f t="shared" si="32"/>
        <v>17400000</v>
      </c>
      <c r="AE40" s="15">
        <v>10</v>
      </c>
      <c r="AF40" s="32">
        <f t="shared" si="33"/>
        <v>20000000</v>
      </c>
      <c r="AG40" s="27"/>
      <c r="AH40" s="31" t="s">
        <v>28</v>
      </c>
      <c r="AI40" s="15"/>
      <c r="AJ40" s="32" t="str">
        <f t="shared" si="34"/>
        <v>N/A</v>
      </c>
      <c r="AK40" s="15"/>
      <c r="AL40" s="32" t="str">
        <f t="shared" si="35"/>
        <v>N/A</v>
      </c>
      <c r="AM40" s="27"/>
      <c r="AN40" s="31" t="s">
        <v>28</v>
      </c>
      <c r="AO40" s="15"/>
      <c r="AP40" s="32" t="str">
        <f t="shared" si="36"/>
        <v>N/A</v>
      </c>
      <c r="AQ40" s="15"/>
      <c r="AR40" s="32" t="str">
        <f t="shared" si="37"/>
        <v>N/A</v>
      </c>
    </row>
    <row r="41" spans="2:44" ht="15" x14ac:dyDescent="0.45">
      <c r="B41" s="16" t="s">
        <v>29</v>
      </c>
      <c r="C41" s="17"/>
      <c r="D41" s="14" t="str">
        <f>IF(ISNUMBER(C41) = TRUE, C41*10^C$9*1000/C$10, "N/A")</f>
        <v>N/A</v>
      </c>
      <c r="E41" s="17"/>
      <c r="F41" s="14" t="str">
        <f>IF(ISNUMBER(E41) = TRUE, E41*10^E$9*1000/E$10, "N/A")</f>
        <v>N/A</v>
      </c>
      <c r="I41" s="33" t="s">
        <v>29</v>
      </c>
      <c r="J41" s="25">
        <v>56</v>
      </c>
      <c r="K41" s="32">
        <f t="shared" si="26"/>
        <v>1120000</v>
      </c>
      <c r="L41" s="25"/>
      <c r="M41" s="32" t="str">
        <f t="shared" si="27"/>
        <v>N/A</v>
      </c>
      <c r="N41" s="27"/>
      <c r="O41" s="33" t="s">
        <v>29</v>
      </c>
      <c r="P41" s="25"/>
      <c r="Q41" s="32" t="str">
        <f t="shared" si="28"/>
        <v>N/A</v>
      </c>
      <c r="R41" s="25">
        <v>2</v>
      </c>
      <c r="S41" s="32">
        <f t="shared" si="29"/>
        <v>400000</v>
      </c>
      <c r="T41" s="27"/>
      <c r="U41" s="33" t="s">
        <v>29</v>
      </c>
      <c r="V41" s="25"/>
      <c r="W41" s="32" t="str">
        <f t="shared" si="30"/>
        <v>N/A</v>
      </c>
      <c r="X41" s="25"/>
      <c r="Y41" s="32" t="str">
        <f t="shared" si="31"/>
        <v>N/A</v>
      </c>
      <c r="AB41" s="33" t="s">
        <v>29</v>
      </c>
      <c r="AC41" s="25">
        <v>83</v>
      </c>
      <c r="AD41" s="32">
        <f t="shared" si="32"/>
        <v>16600000</v>
      </c>
      <c r="AE41" s="25">
        <v>7</v>
      </c>
      <c r="AF41" s="32">
        <f t="shared" si="33"/>
        <v>14000000</v>
      </c>
      <c r="AG41" s="27"/>
      <c r="AH41" s="33" t="s">
        <v>29</v>
      </c>
      <c r="AI41" s="25"/>
      <c r="AJ41" s="32" t="str">
        <f t="shared" si="34"/>
        <v>N/A</v>
      </c>
      <c r="AK41" s="25"/>
      <c r="AL41" s="32" t="str">
        <f t="shared" si="35"/>
        <v>N/A</v>
      </c>
      <c r="AM41" s="27"/>
      <c r="AN41" s="33" t="s">
        <v>29</v>
      </c>
      <c r="AO41" s="25"/>
      <c r="AP41" s="32" t="str">
        <f t="shared" si="36"/>
        <v>N/A</v>
      </c>
      <c r="AQ41" s="25"/>
      <c r="AR41" s="32" t="str">
        <f t="shared" si="37"/>
        <v>N/A</v>
      </c>
    </row>
    <row r="42" spans="2:44" x14ac:dyDescent="0.4">
      <c r="B42" s="18" t="s">
        <v>17</v>
      </c>
      <c r="C42" s="49">
        <v>5</v>
      </c>
      <c r="D42" s="50"/>
      <c r="E42" s="51">
        <v>6</v>
      </c>
      <c r="F42" s="50"/>
      <c r="I42" s="34" t="s">
        <v>17</v>
      </c>
      <c r="J42" s="38">
        <v>2</v>
      </c>
      <c r="K42" s="39"/>
      <c r="L42" s="45">
        <v>3</v>
      </c>
      <c r="M42" s="39"/>
      <c r="N42" s="27"/>
      <c r="O42" s="34" t="s">
        <v>17</v>
      </c>
      <c r="P42" s="38">
        <v>2</v>
      </c>
      <c r="Q42" s="39"/>
      <c r="R42" s="45">
        <v>3</v>
      </c>
      <c r="S42" s="39"/>
      <c r="T42" s="27"/>
      <c r="U42" s="34" t="s">
        <v>17</v>
      </c>
      <c r="V42" s="38">
        <v>2</v>
      </c>
      <c r="W42" s="39"/>
      <c r="X42" s="45">
        <v>3</v>
      </c>
      <c r="Y42" s="39"/>
      <c r="AB42" s="34" t="s">
        <v>17</v>
      </c>
      <c r="AC42" s="38">
        <v>3</v>
      </c>
      <c r="AD42" s="39"/>
      <c r="AE42" s="45">
        <v>4</v>
      </c>
      <c r="AF42" s="39"/>
      <c r="AG42" s="27"/>
      <c r="AH42" s="34" t="s">
        <v>17</v>
      </c>
      <c r="AI42" s="38">
        <v>3</v>
      </c>
      <c r="AJ42" s="39"/>
      <c r="AK42" s="45">
        <v>3</v>
      </c>
      <c r="AL42" s="39"/>
      <c r="AM42" s="27"/>
      <c r="AN42" s="34" t="s">
        <v>17</v>
      </c>
      <c r="AO42" s="38">
        <v>3</v>
      </c>
      <c r="AP42" s="39"/>
      <c r="AQ42" s="45">
        <v>3</v>
      </c>
      <c r="AR42" s="39"/>
    </row>
    <row r="43" spans="2:44" x14ac:dyDescent="0.4">
      <c r="B43" s="16" t="s">
        <v>18</v>
      </c>
      <c r="C43" s="52">
        <v>5</v>
      </c>
      <c r="D43" s="53"/>
      <c r="E43" s="54">
        <v>5</v>
      </c>
      <c r="F43" s="53"/>
      <c r="I43" s="33" t="s">
        <v>18</v>
      </c>
      <c r="J43" s="42">
        <v>5</v>
      </c>
      <c r="K43" s="43"/>
      <c r="L43" s="44">
        <v>5</v>
      </c>
      <c r="M43" s="43"/>
      <c r="N43" s="27"/>
      <c r="O43" s="33" t="s">
        <v>18</v>
      </c>
      <c r="P43" s="42">
        <v>5</v>
      </c>
      <c r="Q43" s="43"/>
      <c r="R43" s="44">
        <v>5</v>
      </c>
      <c r="S43" s="43"/>
      <c r="T43" s="27"/>
      <c r="U43" s="33" t="s">
        <v>18</v>
      </c>
      <c r="V43" s="42">
        <v>5</v>
      </c>
      <c r="W43" s="43"/>
      <c r="X43" s="44">
        <v>5</v>
      </c>
      <c r="Y43" s="43"/>
      <c r="AB43" s="33" t="s">
        <v>18</v>
      </c>
      <c r="AC43" s="42">
        <v>5</v>
      </c>
      <c r="AD43" s="43"/>
      <c r="AE43" s="44">
        <v>5</v>
      </c>
      <c r="AF43" s="43"/>
      <c r="AG43" s="27"/>
      <c r="AH43" s="33" t="s">
        <v>18</v>
      </c>
      <c r="AI43" s="42">
        <v>5</v>
      </c>
      <c r="AJ43" s="43"/>
      <c r="AK43" s="44">
        <v>5</v>
      </c>
      <c r="AL43" s="43"/>
      <c r="AM43" s="27"/>
      <c r="AN43" s="33" t="s">
        <v>18</v>
      </c>
      <c r="AO43" s="42">
        <v>5</v>
      </c>
      <c r="AP43" s="43"/>
      <c r="AQ43" s="44">
        <v>5</v>
      </c>
      <c r="AR43" s="43"/>
    </row>
    <row r="44" spans="2:44" x14ac:dyDescent="0.4">
      <c r="B44" s="12" t="s">
        <v>13</v>
      </c>
      <c r="C44" s="13">
        <f>IF(ISBLANK(E37) = FALSE, (_xlfn.STDEV.P(D37:D41)^2+_xlfn.STDEV.P(F37:F41)^2)^(1/2), _xlfn.STDEV.P(D37:D41))</f>
        <v>182048528.32875818</v>
      </c>
      <c r="D44" s="19" t="s">
        <v>16</v>
      </c>
      <c r="E44" s="49">
        <v>24</v>
      </c>
      <c r="F44" s="50"/>
      <c r="I44" s="31" t="s">
        <v>13</v>
      </c>
      <c r="J44" s="13">
        <f>IF(ISBLANK(L37) = FALSE, (_xlfn.STDEV.P(K37:K41)^2+_xlfn.STDEV.P(M37:M41)^2)^(1/2), _xlfn.STDEV.P(K37:K41))</f>
        <v>223292.53358667315</v>
      </c>
      <c r="K44" s="35" t="s">
        <v>16</v>
      </c>
      <c r="L44" s="38">
        <v>1</v>
      </c>
      <c r="M44" s="39"/>
      <c r="N44" s="27"/>
      <c r="O44" s="31" t="s">
        <v>13</v>
      </c>
      <c r="P44" s="13">
        <f>IF(ISBLANK(R37) = FALSE, (_xlfn.STDEV.P(Q37:Q41)^2+_xlfn.STDEV.P(S37:S41)^2)^(1/2), _xlfn.STDEV.P(Q37:Q41))</f>
        <v>355914.31553114014</v>
      </c>
      <c r="Q44" s="35" t="s">
        <v>16</v>
      </c>
      <c r="R44" s="38">
        <v>1</v>
      </c>
      <c r="S44" s="39"/>
      <c r="T44" s="27"/>
      <c r="U44" s="31" t="s">
        <v>13</v>
      </c>
      <c r="V44" s="13">
        <f>IF(ISBLANK(X37) = FALSE, (_xlfn.STDEV.P(W37:W41)^2+_xlfn.STDEV.P(Y37:Y41)^2)^(1/2), _xlfn.STDEV.P(W37:W41))</f>
        <v>183779.75949489104</v>
      </c>
      <c r="W44" s="35" t="s">
        <v>16</v>
      </c>
      <c r="X44" s="38">
        <v>1</v>
      </c>
      <c r="Y44" s="39"/>
      <c r="AB44" s="31" t="s">
        <v>13</v>
      </c>
      <c r="AC44" s="13">
        <f>IF(ISBLANK(AE37) = FALSE, (_xlfn.STDEV.P(AD37:AD41)^2+_xlfn.STDEV.P(AF37:AF41)^2)^(1/2), _xlfn.STDEV.P(AD37:AD41))</f>
        <v>2377898.2316322955</v>
      </c>
      <c r="AD44" s="35" t="s">
        <v>16</v>
      </c>
      <c r="AE44" s="38">
        <v>1.25</v>
      </c>
      <c r="AF44" s="39"/>
      <c r="AG44" s="27"/>
      <c r="AH44" s="31" t="s">
        <v>13</v>
      </c>
      <c r="AI44" s="13">
        <f>IF(ISBLANK(AK37) = FALSE, (_xlfn.STDEV.P(AJ37:AJ41)^2+_xlfn.STDEV.P(AL37:AL41)^2)^(1/2), _xlfn.STDEV.P(AJ37:AJ41))</f>
        <v>754983.443527075</v>
      </c>
      <c r="AJ44" s="35" t="s">
        <v>16</v>
      </c>
      <c r="AK44" s="38">
        <v>1.25</v>
      </c>
      <c r="AL44" s="39"/>
      <c r="AM44" s="27"/>
      <c r="AN44" s="31" t="s">
        <v>13</v>
      </c>
      <c r="AO44" s="13">
        <f>IF(ISBLANK(AQ37) = FALSE, (_xlfn.STDEV.P(AP37:AP41)^2+_xlfn.STDEV.P(AR37:AR41)^2)^(1/2), _xlfn.STDEV.P(AP37:AP41))</f>
        <v>346410.16151377547</v>
      </c>
      <c r="AP44" s="35" t="s">
        <v>16</v>
      </c>
      <c r="AQ44" s="38">
        <v>1.25</v>
      </c>
      <c r="AR44" s="39"/>
    </row>
    <row r="45" spans="2:44" ht="14.25" thickBot="1" x14ac:dyDescent="0.45">
      <c r="B45" s="20" t="s">
        <v>19</v>
      </c>
      <c r="C45" s="21">
        <f>(AVERAGE(D37:D41)+AVERAGE(F37:F41))/2</f>
        <v>1987500000</v>
      </c>
      <c r="D45" s="22" t="s">
        <v>20</v>
      </c>
      <c r="E45" s="55">
        <v>50</v>
      </c>
      <c r="F45" s="56"/>
      <c r="I45" s="36" t="s">
        <v>19</v>
      </c>
      <c r="J45" s="21">
        <f>(AVERAGE(K37:K41)+AVERAGE(M37:M41))/2</f>
        <v>1361333.3333333335</v>
      </c>
      <c r="K45" s="37" t="s">
        <v>20</v>
      </c>
      <c r="L45" s="40">
        <v>0</v>
      </c>
      <c r="M45" s="41"/>
      <c r="N45" s="27"/>
      <c r="O45" s="36" t="s">
        <v>19</v>
      </c>
      <c r="P45" s="21">
        <f>(AVERAGE(Q37:Q41)+AVERAGE(S37:S41))/2</f>
        <v>962500</v>
      </c>
      <c r="Q45" s="37" t="s">
        <v>20</v>
      </c>
      <c r="R45" s="40">
        <v>25</v>
      </c>
      <c r="S45" s="41"/>
      <c r="T45" s="27"/>
      <c r="U45" s="36" t="s">
        <v>19</v>
      </c>
      <c r="V45" s="21">
        <f>(AVERAGE(W37:W41)+AVERAGE(Y37:Y41))/2</f>
        <v>822500</v>
      </c>
      <c r="W45" s="37" t="s">
        <v>20</v>
      </c>
      <c r="X45" s="40">
        <v>50</v>
      </c>
      <c r="Y45" s="41"/>
      <c r="AB45" s="36" t="s">
        <v>19</v>
      </c>
      <c r="AC45" s="21">
        <f>(AVERAGE(AD37:AD41)+AVERAGE(AF37:AF41))/2</f>
        <v>16580000</v>
      </c>
      <c r="AD45" s="37" t="s">
        <v>20</v>
      </c>
      <c r="AE45" s="40">
        <v>0</v>
      </c>
      <c r="AF45" s="41"/>
      <c r="AG45" s="27"/>
      <c r="AH45" s="36" t="s">
        <v>19</v>
      </c>
      <c r="AI45" s="21">
        <f>(AVERAGE(AJ37:AJ41)+AVERAGE(AL37:AL41))/2</f>
        <v>13050000</v>
      </c>
      <c r="AJ45" s="37" t="s">
        <v>20</v>
      </c>
      <c r="AK45" s="40">
        <v>25</v>
      </c>
      <c r="AL45" s="41"/>
      <c r="AM45" s="27"/>
      <c r="AN45" s="36" t="s">
        <v>19</v>
      </c>
      <c r="AO45" s="21">
        <f>(AVERAGE(AP37:AP41)+AVERAGE(AR37:AR41))/2</f>
        <v>12700000</v>
      </c>
      <c r="AP45" s="37" t="s">
        <v>20</v>
      </c>
      <c r="AQ45" s="40">
        <v>50</v>
      </c>
      <c r="AR45" s="41"/>
    </row>
    <row r="46" spans="2:44" ht="14.25" thickBot="1" x14ac:dyDescent="0.45"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2:44" x14ac:dyDescent="0.4">
      <c r="B47" s="9"/>
      <c r="C47" s="10" t="s">
        <v>22</v>
      </c>
      <c r="D47" s="11" t="s">
        <v>21</v>
      </c>
      <c r="E47" s="10" t="s">
        <v>22</v>
      </c>
      <c r="F47" s="11" t="s">
        <v>21</v>
      </c>
      <c r="I47" s="28"/>
      <c r="J47" s="29" t="s">
        <v>22</v>
      </c>
      <c r="K47" s="30" t="s">
        <v>21</v>
      </c>
      <c r="L47" s="29" t="s">
        <v>22</v>
      </c>
      <c r="M47" s="30" t="s">
        <v>21</v>
      </c>
      <c r="N47" s="27"/>
      <c r="O47" s="28"/>
      <c r="P47" s="29" t="s">
        <v>22</v>
      </c>
      <c r="Q47" s="30" t="s">
        <v>21</v>
      </c>
      <c r="R47" s="29" t="s">
        <v>22</v>
      </c>
      <c r="S47" s="30" t="s">
        <v>21</v>
      </c>
      <c r="T47" s="27"/>
      <c r="U47" s="28"/>
      <c r="V47" s="29" t="s">
        <v>22</v>
      </c>
      <c r="W47" s="30" t="s">
        <v>21</v>
      </c>
      <c r="X47" s="29" t="s">
        <v>22</v>
      </c>
      <c r="Y47" s="30" t="s">
        <v>21</v>
      </c>
    </row>
    <row r="48" spans="2:44" ht="15" x14ac:dyDescent="0.45">
      <c r="B48" s="12" t="s">
        <v>25</v>
      </c>
      <c r="C48" s="15">
        <v>76</v>
      </c>
      <c r="D48" s="14">
        <f>IF(ISNUMBER(C48) = TRUE, C48*10^C$9*1000/C$10, "N/A")</f>
        <v>1520000000</v>
      </c>
      <c r="E48" s="13"/>
      <c r="F48" s="14" t="str">
        <f>IF(ISNUMBER(E48) = TRUE, E48*10^E$9*1000/E$10, "N/A")</f>
        <v>N/A</v>
      </c>
      <c r="I48" s="31" t="s">
        <v>25</v>
      </c>
      <c r="J48" s="15">
        <v>142</v>
      </c>
      <c r="K48" s="32">
        <f>IF(ISNUMBER(J48) = TRUE, J48*10^J$53*1000/J$54, "N/A")</f>
        <v>2840000</v>
      </c>
      <c r="L48" s="15">
        <v>13</v>
      </c>
      <c r="M48" s="32">
        <f>IF(ISNUMBER(L48) = TRUE, L48*10^L$53*1000/L$54, "N/A")</f>
        <v>2600000</v>
      </c>
      <c r="N48" s="27"/>
      <c r="O48" s="31" t="s">
        <v>25</v>
      </c>
      <c r="P48" s="15">
        <v>76</v>
      </c>
      <c r="Q48" s="32">
        <f>IF(ISNUMBER(P48) = TRUE, P48*10^P$53*1000/P$54, "N/A")</f>
        <v>1520000</v>
      </c>
      <c r="R48" s="15">
        <v>3</v>
      </c>
      <c r="S48" s="32">
        <f>IF(ISNUMBER(R48) = TRUE, R48*10^R$53*1000/R$54, "N/A")</f>
        <v>600000</v>
      </c>
      <c r="T48" s="27"/>
      <c r="U48" s="31" t="s">
        <v>25</v>
      </c>
      <c r="V48" s="15">
        <v>66</v>
      </c>
      <c r="W48" s="32">
        <f>IF(ISNUMBER(V48) = TRUE, V48*10^V$53*1000/V$54, "N/A")</f>
        <v>1320000</v>
      </c>
      <c r="X48" s="15">
        <v>3</v>
      </c>
      <c r="Y48" s="32">
        <f>IF(ISNUMBER(X48) = TRUE, X48*10^X$53*1000/X$54, "N/A")</f>
        <v>600000</v>
      </c>
    </row>
    <row r="49" spans="2:25" ht="15" x14ac:dyDescent="0.45">
      <c r="B49" s="12" t="s">
        <v>26</v>
      </c>
      <c r="C49" s="13">
        <v>73</v>
      </c>
      <c r="D49" s="14">
        <f>IF(ISNUMBER(C49) = TRUE, C49*10^C$9*1000/C$10, "N/A")</f>
        <v>1460000000</v>
      </c>
      <c r="E49" s="13"/>
      <c r="F49" s="14" t="str">
        <f>IF(ISNUMBER(E49) = TRUE, E49*10^E$9*1000/E$10, "N/A")</f>
        <v>N/A</v>
      </c>
      <c r="I49" s="31" t="s">
        <v>26</v>
      </c>
      <c r="J49" s="15">
        <v>157</v>
      </c>
      <c r="K49" s="32">
        <f t="shared" ref="K49:K52" si="38">IF(ISNUMBER(J49) = TRUE, J49*10^J$53*1000/J$54, "N/A")</f>
        <v>3140000</v>
      </c>
      <c r="L49" s="15">
        <v>14</v>
      </c>
      <c r="M49" s="32">
        <f t="shared" ref="M49:M51" si="39">IF(ISNUMBER(L49) = TRUE, L49*10^L$53*1000/L$54, "N/A")</f>
        <v>2800000</v>
      </c>
      <c r="N49" s="27"/>
      <c r="O49" s="31" t="s">
        <v>26</v>
      </c>
      <c r="P49" s="15">
        <v>73</v>
      </c>
      <c r="Q49" s="32">
        <f t="shared" ref="Q49:Q52" si="40">IF(ISNUMBER(P49) = TRUE, P49*10^P$53*1000/P$54, "N/A")</f>
        <v>1460000</v>
      </c>
      <c r="R49" s="15">
        <v>2</v>
      </c>
      <c r="S49" s="32">
        <f t="shared" ref="S49:S52" si="41">IF(ISNUMBER(R49) = TRUE, R49*10^R$53*1000/R$54, "N/A")</f>
        <v>400000</v>
      </c>
      <c r="T49" s="27"/>
      <c r="U49" s="31" t="s">
        <v>26</v>
      </c>
      <c r="V49" s="15">
        <v>64</v>
      </c>
      <c r="W49" s="32">
        <f t="shared" ref="W49:W52" si="42">IF(ISNUMBER(V49) = TRUE, V49*10^V$53*1000/V$54, "N/A")</f>
        <v>1280000</v>
      </c>
      <c r="X49" s="15">
        <v>5</v>
      </c>
      <c r="Y49" s="32">
        <f t="shared" ref="Y49:Y52" si="43">IF(ISNUMBER(X49) = TRUE, X49*10^X$53*1000/X$54, "N/A")</f>
        <v>1000000</v>
      </c>
    </row>
    <row r="50" spans="2:25" ht="15" x14ac:dyDescent="0.45">
      <c r="B50" s="12" t="s">
        <v>27</v>
      </c>
      <c r="C50" s="13">
        <v>66</v>
      </c>
      <c r="D50" s="14">
        <f>IF(ISNUMBER(C50) = TRUE, C50*10^C$9*1000/C$10, "N/A")</f>
        <v>1320000000</v>
      </c>
      <c r="E50" s="13"/>
      <c r="F50" s="14" t="str">
        <f>IF(ISNUMBER(E50) = TRUE, E50*10^E$9*1000/E$10, "N/A")</f>
        <v>N/A</v>
      </c>
      <c r="I50" s="31" t="s">
        <v>27</v>
      </c>
      <c r="J50" s="15">
        <v>145</v>
      </c>
      <c r="K50" s="32">
        <f t="shared" si="38"/>
        <v>2900000</v>
      </c>
      <c r="L50" s="15">
        <v>9</v>
      </c>
      <c r="M50" s="32">
        <f t="shared" si="39"/>
        <v>1800000</v>
      </c>
      <c r="N50" s="27"/>
      <c r="O50" s="31" t="s">
        <v>27</v>
      </c>
      <c r="P50" s="15">
        <v>73</v>
      </c>
      <c r="Q50" s="32">
        <f t="shared" si="40"/>
        <v>1460000</v>
      </c>
      <c r="R50" s="15">
        <v>3</v>
      </c>
      <c r="S50" s="32">
        <f t="shared" si="41"/>
        <v>600000</v>
      </c>
      <c r="T50" s="27"/>
      <c r="U50" s="31" t="s">
        <v>27</v>
      </c>
      <c r="V50" s="15">
        <v>62</v>
      </c>
      <c r="W50" s="32">
        <f t="shared" si="42"/>
        <v>1240000</v>
      </c>
      <c r="X50" s="15">
        <v>7</v>
      </c>
      <c r="Y50" s="32">
        <f t="shared" si="43"/>
        <v>1400000</v>
      </c>
    </row>
    <row r="51" spans="2:25" ht="15" x14ac:dyDescent="0.45">
      <c r="B51" s="12" t="s">
        <v>28</v>
      </c>
      <c r="C51" s="13">
        <v>73</v>
      </c>
      <c r="D51" s="14">
        <f>IF(ISNUMBER(C51) = TRUE, C51*10^C$9*1000/C$10, "N/A")</f>
        <v>1460000000</v>
      </c>
      <c r="E51" s="13"/>
      <c r="F51" s="14" t="str">
        <f>IF(ISNUMBER(E51) = TRUE, E51*10^E$9*1000/E$10, "N/A")</f>
        <v>N/A</v>
      </c>
      <c r="I51" s="31" t="s">
        <v>28</v>
      </c>
      <c r="J51" s="15">
        <v>145</v>
      </c>
      <c r="K51" s="32">
        <f t="shared" si="38"/>
        <v>2900000</v>
      </c>
      <c r="L51" s="15"/>
      <c r="M51" s="32" t="str">
        <f t="shared" si="39"/>
        <v>N/A</v>
      </c>
      <c r="N51" s="27"/>
      <c r="O51" s="31" t="s">
        <v>28</v>
      </c>
      <c r="P51" s="15">
        <v>71</v>
      </c>
      <c r="Q51" s="32">
        <f t="shared" si="40"/>
        <v>1420000</v>
      </c>
      <c r="R51" s="15">
        <v>3</v>
      </c>
      <c r="S51" s="32">
        <f t="shared" si="41"/>
        <v>600000</v>
      </c>
      <c r="T51" s="27"/>
      <c r="U51" s="31" t="s">
        <v>28</v>
      </c>
      <c r="V51" s="15"/>
      <c r="W51" s="32" t="str">
        <f t="shared" si="42"/>
        <v>N/A</v>
      </c>
      <c r="X51" s="15">
        <v>7</v>
      </c>
      <c r="Y51" s="32">
        <f t="shared" si="43"/>
        <v>1400000</v>
      </c>
    </row>
    <row r="52" spans="2:25" ht="15" x14ac:dyDescent="0.45">
      <c r="B52" s="16" t="s">
        <v>29</v>
      </c>
      <c r="C52" s="24"/>
      <c r="D52" s="14" t="str">
        <f>IF(ISNUMBER(C52) = TRUE, C52*10^C$9*1000/C$10, "N/A")</f>
        <v>N/A</v>
      </c>
      <c r="E52" s="24"/>
      <c r="F52" s="14" t="str">
        <f>IF(ISNUMBER(E52) = TRUE, E52*10^E$9*1000/E$10, "N/A")</f>
        <v>N/A</v>
      </c>
      <c r="I52" s="33" t="s">
        <v>29</v>
      </c>
      <c r="J52" s="25"/>
      <c r="K52" s="32" t="str">
        <f t="shared" si="38"/>
        <v>N/A</v>
      </c>
      <c r="L52" s="25"/>
      <c r="M52" s="32" t="str">
        <f>IF(ISNUMBER(L52) = TRUE, L52*10^L$53*1000/L$54, "N/A")</f>
        <v>N/A</v>
      </c>
      <c r="N52" s="27"/>
      <c r="O52" s="33" t="s">
        <v>29</v>
      </c>
      <c r="P52" s="25"/>
      <c r="Q52" s="32" t="str">
        <f t="shared" si="40"/>
        <v>N/A</v>
      </c>
      <c r="R52" s="25"/>
      <c r="S52" s="32" t="str">
        <f t="shared" si="41"/>
        <v>N/A</v>
      </c>
      <c r="T52" s="27"/>
      <c r="U52" s="33" t="s">
        <v>29</v>
      </c>
      <c r="V52" s="25"/>
      <c r="W52" s="32" t="str">
        <f t="shared" si="42"/>
        <v>N/A</v>
      </c>
      <c r="X52" s="25"/>
      <c r="Y52" s="32" t="str">
        <f t="shared" si="43"/>
        <v>N/A</v>
      </c>
    </row>
    <row r="53" spans="2:25" x14ac:dyDescent="0.4">
      <c r="B53" s="18" t="s">
        <v>17</v>
      </c>
      <c r="C53" s="49">
        <v>5</v>
      </c>
      <c r="D53" s="50"/>
      <c r="E53" s="51"/>
      <c r="F53" s="50"/>
      <c r="I53" s="34" t="s">
        <v>17</v>
      </c>
      <c r="J53" s="38">
        <v>2</v>
      </c>
      <c r="K53" s="39"/>
      <c r="L53" s="45">
        <v>3</v>
      </c>
      <c r="M53" s="39"/>
      <c r="N53" s="27"/>
      <c r="O53" s="34" t="s">
        <v>17</v>
      </c>
      <c r="P53" s="38">
        <v>2</v>
      </c>
      <c r="Q53" s="39"/>
      <c r="R53" s="45">
        <v>3</v>
      </c>
      <c r="S53" s="39"/>
      <c r="T53" s="27"/>
      <c r="U53" s="34" t="s">
        <v>17</v>
      </c>
      <c r="V53" s="38">
        <v>2</v>
      </c>
      <c r="W53" s="39"/>
      <c r="X53" s="45">
        <v>3</v>
      </c>
      <c r="Y53" s="39"/>
    </row>
    <row r="54" spans="2:25" x14ac:dyDescent="0.4">
      <c r="B54" s="16" t="s">
        <v>18</v>
      </c>
      <c r="C54" s="52">
        <v>5</v>
      </c>
      <c r="D54" s="53"/>
      <c r="E54" s="54">
        <v>5</v>
      </c>
      <c r="F54" s="53"/>
      <c r="I54" s="33" t="s">
        <v>18</v>
      </c>
      <c r="J54" s="42">
        <v>5</v>
      </c>
      <c r="K54" s="43"/>
      <c r="L54" s="44">
        <v>5</v>
      </c>
      <c r="M54" s="43"/>
      <c r="N54" s="27"/>
      <c r="O54" s="33" t="s">
        <v>18</v>
      </c>
      <c r="P54" s="42">
        <v>5</v>
      </c>
      <c r="Q54" s="43"/>
      <c r="R54" s="44">
        <v>5</v>
      </c>
      <c r="S54" s="43"/>
      <c r="T54" s="27"/>
      <c r="U54" s="33" t="s">
        <v>18</v>
      </c>
      <c r="V54" s="42">
        <v>5</v>
      </c>
      <c r="W54" s="43"/>
      <c r="X54" s="44">
        <v>5</v>
      </c>
      <c r="Y54" s="43"/>
    </row>
    <row r="55" spans="2:25" x14ac:dyDescent="0.4">
      <c r="B55" s="12" t="s">
        <v>13</v>
      </c>
      <c r="C55" s="13">
        <f>IF(ISBLANK(E48) = FALSE, (_xlfn.STDEV.P(D48:D52)^2+_xlfn.STDEV.P(F48:F52)^2)^(1/2), _xlfn.STDEV.P(D48:D52))</f>
        <v>73484692.283495337</v>
      </c>
      <c r="D55" s="19" t="s">
        <v>16</v>
      </c>
      <c r="E55" s="49">
        <v>24</v>
      </c>
      <c r="F55" s="50"/>
      <c r="I55" s="31" t="s">
        <v>13</v>
      </c>
      <c r="J55" s="13">
        <f>IF(ISBLANK(L48) = FALSE, (_xlfn.STDEV.P(K48:K52)^2+_xlfn.STDEV.P(M48:M52)^2)^(1/2), _xlfn.STDEV.P(K48:K52))</f>
        <v>447148.37209439406</v>
      </c>
      <c r="K55" s="35" t="s">
        <v>16</v>
      </c>
      <c r="L55" s="38">
        <v>2</v>
      </c>
      <c r="M55" s="39"/>
      <c r="N55" s="27"/>
      <c r="O55" s="31" t="s">
        <v>13</v>
      </c>
      <c r="P55" s="13">
        <f>IF(ISBLANK(R48) = FALSE, (_xlfn.STDEV.P(Q48:Q52)^2+_xlfn.STDEV.P(S48:S52)^2)^(1/2), _xlfn.STDEV.P(Q48:Q52))</f>
        <v>93674.969975975968</v>
      </c>
      <c r="Q55" s="35" t="s">
        <v>16</v>
      </c>
      <c r="R55" s="38">
        <v>2</v>
      </c>
      <c r="S55" s="39"/>
      <c r="T55" s="27"/>
      <c r="U55" s="31" t="s">
        <v>13</v>
      </c>
      <c r="V55" s="13">
        <f>IF(ISBLANK(X48) = FALSE, (_xlfn.STDEV.P(W48:W52)^2+_xlfn.STDEV.P(Y48:Y52)^2)^(1/2), _xlfn.STDEV.P(W48:W52))</f>
        <v>333266.65999866632</v>
      </c>
      <c r="W55" s="35" t="s">
        <v>16</v>
      </c>
      <c r="X55" s="38">
        <v>2</v>
      </c>
      <c r="Y55" s="39"/>
    </row>
    <row r="56" spans="2:25" ht="14.25" thickBot="1" x14ac:dyDescent="0.45">
      <c r="B56" s="20" t="s">
        <v>19</v>
      </c>
      <c r="C56" s="26">
        <f>AVERAGE(D48:D52,F48:F52)</f>
        <v>1440000000</v>
      </c>
      <c r="D56" s="22" t="s">
        <v>20</v>
      </c>
      <c r="E56" s="55">
        <v>100</v>
      </c>
      <c r="F56" s="56"/>
      <c r="I56" s="36" t="s">
        <v>19</v>
      </c>
      <c r="J56" s="21">
        <f>(AVERAGE(K48:K52)+AVERAGE(M48:M52))/2</f>
        <v>2672500</v>
      </c>
      <c r="K56" s="37" t="s">
        <v>20</v>
      </c>
      <c r="L56" s="40">
        <f>0</f>
        <v>0</v>
      </c>
      <c r="M56" s="41"/>
      <c r="N56" s="27"/>
      <c r="O56" s="36" t="s">
        <v>19</v>
      </c>
      <c r="P56" s="21">
        <f>(AVERAGE(Q48:Q52)+AVERAGE(S48:S52))/2</f>
        <v>1007500</v>
      </c>
      <c r="Q56" s="37" t="s">
        <v>20</v>
      </c>
      <c r="R56" s="40">
        <v>25</v>
      </c>
      <c r="S56" s="41"/>
      <c r="T56" s="27"/>
      <c r="U56" s="36" t="s">
        <v>19</v>
      </c>
      <c r="V56" s="21">
        <f>(AVERAGE(W48:W52)+AVERAGE(Y48:Y52))/2</f>
        <v>1190000</v>
      </c>
      <c r="W56" s="37" t="s">
        <v>20</v>
      </c>
      <c r="X56" s="40">
        <v>50</v>
      </c>
      <c r="Y56" s="41"/>
    </row>
    <row r="57" spans="2:25" ht="14.25" thickBot="1" x14ac:dyDescent="0.45"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2:25" x14ac:dyDescent="0.4">
      <c r="B58" s="9"/>
      <c r="C58" s="10" t="s">
        <v>22</v>
      </c>
      <c r="D58" s="11" t="s">
        <v>21</v>
      </c>
      <c r="E58" s="10" t="s">
        <v>22</v>
      </c>
      <c r="F58" s="11" t="s">
        <v>21</v>
      </c>
      <c r="I58" s="28"/>
      <c r="J58" s="29" t="s">
        <v>22</v>
      </c>
      <c r="K58" s="30" t="s">
        <v>21</v>
      </c>
      <c r="L58" s="29" t="s">
        <v>22</v>
      </c>
      <c r="M58" s="30" t="s">
        <v>21</v>
      </c>
      <c r="N58" s="27"/>
      <c r="O58" s="28"/>
      <c r="P58" s="29" t="s">
        <v>22</v>
      </c>
      <c r="Q58" s="30" t="s">
        <v>21</v>
      </c>
      <c r="R58" s="29" t="s">
        <v>22</v>
      </c>
      <c r="S58" s="30" t="s">
        <v>21</v>
      </c>
      <c r="T58" s="27"/>
      <c r="U58" s="28"/>
      <c r="V58" s="29" t="s">
        <v>22</v>
      </c>
      <c r="W58" s="30" t="s">
        <v>21</v>
      </c>
      <c r="X58" s="29" t="s">
        <v>22</v>
      </c>
      <c r="Y58" s="30" t="s">
        <v>21</v>
      </c>
    </row>
    <row r="59" spans="2:25" ht="15" x14ac:dyDescent="0.45">
      <c r="B59" s="12" t="s">
        <v>25</v>
      </c>
      <c r="C59" s="13">
        <v>14</v>
      </c>
      <c r="D59" s="14">
        <f>IF(ISNUMBER(C59) = TRUE, C59*10^C$9*1000/C$10, "N/A")</f>
        <v>280000000</v>
      </c>
      <c r="E59" s="13"/>
      <c r="F59" s="14" t="str">
        <f>IF(ISNUMBER(E59) = TRUE, E59*10^E$9*1000/E$10, "N/A")</f>
        <v>N/A</v>
      </c>
      <c r="I59" s="31" t="s">
        <v>25</v>
      </c>
      <c r="J59" s="15">
        <v>32</v>
      </c>
      <c r="K59" s="32">
        <f>IF(ISNUMBER(J59) = TRUE, J59*10^J$64*1000/J$65, "N/A")</f>
        <v>6400000</v>
      </c>
      <c r="L59" s="15"/>
      <c r="M59" s="32" t="str">
        <f>IF(ISNUMBER(L59) = TRUE, L59*10^L$64*1000/L$65, "N/A")</f>
        <v>N/A</v>
      </c>
      <c r="N59" s="27"/>
      <c r="O59" s="31" t="s">
        <v>25</v>
      </c>
      <c r="P59" s="15">
        <v>14</v>
      </c>
      <c r="Q59" s="32">
        <f>IF(ISNUMBER(P59) = TRUE, P59*10^P$64*1000/P$65, "N/A")</f>
        <v>2800000</v>
      </c>
      <c r="R59" s="15">
        <v>7</v>
      </c>
      <c r="S59" s="32">
        <f>IF(ISNUMBER(R59) = TRUE, R59*10^R$64*1000/R$65, "N/A")</f>
        <v>14000000</v>
      </c>
      <c r="T59" s="27"/>
      <c r="U59" s="31" t="s">
        <v>25</v>
      </c>
      <c r="V59" s="15">
        <v>21</v>
      </c>
      <c r="W59" s="32">
        <f>IF(ISNUMBER(V59) = TRUE, V59*10^V$64*1000/V$65, "N/A")</f>
        <v>4200000</v>
      </c>
      <c r="X59" s="15">
        <v>4</v>
      </c>
      <c r="Y59" s="32">
        <f>IF(ISNUMBER(X59) = TRUE, X59*10^X$64*1000/X$65, "N/A")</f>
        <v>8000000</v>
      </c>
    </row>
    <row r="60" spans="2:25" ht="15" x14ac:dyDescent="0.45">
      <c r="B60" s="12" t="s">
        <v>26</v>
      </c>
      <c r="C60" s="13">
        <v>6</v>
      </c>
      <c r="D60" s="14">
        <f>IF(ISNUMBER(C60) = TRUE, C60*10^C$9*1000/C$10, "N/A")</f>
        <v>120000000</v>
      </c>
      <c r="E60" s="13"/>
      <c r="F60" s="14" t="str">
        <f>IF(ISNUMBER(E60) = TRUE, E60*10^E$9*1000/E$10, "N/A")</f>
        <v>N/A</v>
      </c>
      <c r="I60" s="31" t="s">
        <v>26</v>
      </c>
      <c r="J60" s="15">
        <v>31</v>
      </c>
      <c r="K60" s="32">
        <f t="shared" ref="K60:K63" si="44">IF(ISNUMBER(J60) = TRUE, J60*10^J$64*1000/J$65, "N/A")</f>
        <v>6200000</v>
      </c>
      <c r="L60" s="15"/>
      <c r="M60" s="32" t="str">
        <f t="shared" ref="M60:M63" si="45">IF(ISNUMBER(L60) = TRUE, L60*10^L$64*1000/L$65, "N/A")</f>
        <v>N/A</v>
      </c>
      <c r="N60" s="27"/>
      <c r="O60" s="31" t="s">
        <v>26</v>
      </c>
      <c r="P60" s="15">
        <v>10</v>
      </c>
      <c r="Q60" s="32">
        <f t="shared" ref="Q60:Q63" si="46">IF(ISNUMBER(P60) = TRUE, P60*10^P$64*1000/P$65, "N/A")</f>
        <v>2000000</v>
      </c>
      <c r="R60" s="15">
        <v>6</v>
      </c>
      <c r="S60" s="32">
        <f t="shared" ref="S60:S63" si="47">IF(ISNUMBER(R60) = TRUE, R60*10^R$64*1000/R$65, "N/A")</f>
        <v>12000000</v>
      </c>
      <c r="T60" s="27"/>
      <c r="U60" s="31" t="s">
        <v>26</v>
      </c>
      <c r="V60" s="15">
        <v>17</v>
      </c>
      <c r="W60" s="32">
        <f t="shared" ref="W60:W63" si="48">IF(ISNUMBER(V60) = TRUE, V60*10^V$64*1000/V$65, "N/A")</f>
        <v>3400000</v>
      </c>
      <c r="X60" s="15">
        <v>4</v>
      </c>
      <c r="Y60" s="32">
        <f t="shared" ref="Y60:Y63" si="49">IF(ISNUMBER(X60) = TRUE, X60*10^X$64*1000/X$65, "N/A")</f>
        <v>8000000</v>
      </c>
    </row>
    <row r="61" spans="2:25" ht="15" x14ac:dyDescent="0.45">
      <c r="B61" s="12" t="s">
        <v>27</v>
      </c>
      <c r="C61" s="15">
        <v>16</v>
      </c>
      <c r="D61" s="14">
        <f>IF(ISNUMBER(C61) = TRUE, C61*10^C$9*1000/C$10, "N/A")</f>
        <v>320000000</v>
      </c>
      <c r="E61" s="13"/>
      <c r="F61" s="14" t="str">
        <f>IF(ISNUMBER(E61) = TRUE, E61*10^E$9*1000/E$10, "N/A")</f>
        <v>N/A</v>
      </c>
      <c r="I61" s="31" t="s">
        <v>27</v>
      </c>
      <c r="J61" s="15">
        <v>39</v>
      </c>
      <c r="K61" s="32">
        <f t="shared" si="44"/>
        <v>7800000</v>
      </c>
      <c r="L61" s="15"/>
      <c r="M61" s="32" t="str">
        <f t="shared" si="45"/>
        <v>N/A</v>
      </c>
      <c r="N61" s="27"/>
      <c r="O61" s="31" t="s">
        <v>27</v>
      </c>
      <c r="P61" s="15">
        <v>6</v>
      </c>
      <c r="Q61" s="32">
        <f t="shared" si="46"/>
        <v>1200000</v>
      </c>
      <c r="R61" s="15">
        <v>2</v>
      </c>
      <c r="S61" s="32">
        <f t="shared" si="47"/>
        <v>4000000</v>
      </c>
      <c r="T61" s="27"/>
      <c r="U61" s="31" t="s">
        <v>27</v>
      </c>
      <c r="V61" s="15">
        <v>17</v>
      </c>
      <c r="W61" s="32">
        <f t="shared" si="48"/>
        <v>3400000</v>
      </c>
      <c r="X61" s="15">
        <v>2</v>
      </c>
      <c r="Y61" s="32">
        <f t="shared" si="49"/>
        <v>4000000</v>
      </c>
    </row>
    <row r="62" spans="2:25" ht="15" x14ac:dyDescent="0.45">
      <c r="B62" s="12" t="s">
        <v>28</v>
      </c>
      <c r="C62" s="13">
        <v>9</v>
      </c>
      <c r="D62" s="14">
        <f>IF(ISNUMBER(C62) = TRUE, C62*10^C$9*1000/C$10, "N/A")</f>
        <v>180000000</v>
      </c>
      <c r="E62" s="13"/>
      <c r="F62" s="14" t="str">
        <f>IF(ISNUMBER(E62) = TRUE, E62*10^E$9*1000/E$10, "N/A")</f>
        <v>N/A</v>
      </c>
      <c r="I62" s="31" t="s">
        <v>28</v>
      </c>
      <c r="J62" s="15"/>
      <c r="K62" s="32" t="str">
        <f t="shared" si="44"/>
        <v>N/A</v>
      </c>
      <c r="L62" s="15"/>
      <c r="M62" s="32" t="str">
        <f t="shared" si="45"/>
        <v>N/A</v>
      </c>
      <c r="N62" s="27"/>
      <c r="O62" s="31" t="s">
        <v>28</v>
      </c>
      <c r="P62" s="15"/>
      <c r="Q62" s="32" t="str">
        <f t="shared" si="46"/>
        <v>N/A</v>
      </c>
      <c r="R62" s="15">
        <v>5</v>
      </c>
      <c r="S62" s="32">
        <f t="shared" si="47"/>
        <v>10000000</v>
      </c>
      <c r="T62" s="27"/>
      <c r="U62" s="31" t="s">
        <v>28</v>
      </c>
      <c r="V62" s="15">
        <v>18</v>
      </c>
      <c r="W62" s="32">
        <f t="shared" si="48"/>
        <v>3600000</v>
      </c>
      <c r="X62" s="15">
        <v>2</v>
      </c>
      <c r="Y62" s="32">
        <f t="shared" si="49"/>
        <v>4000000</v>
      </c>
    </row>
    <row r="63" spans="2:25" ht="15" x14ac:dyDescent="0.45">
      <c r="B63" s="16" t="s">
        <v>29</v>
      </c>
      <c r="C63" s="24"/>
      <c r="D63" s="14" t="str">
        <f>IF(ISNUMBER(C63) = TRUE, C63*10^C$9*1000/C$10, "N/A")</f>
        <v>N/A</v>
      </c>
      <c r="E63" s="24"/>
      <c r="F63" s="14" t="str">
        <f>IF(ISNUMBER(E63) = TRUE, E63*10^E$9*1000/E$10, "N/A")</f>
        <v>N/A</v>
      </c>
      <c r="I63" s="33" t="s">
        <v>29</v>
      </c>
      <c r="J63" s="25"/>
      <c r="K63" s="32" t="str">
        <f t="shared" si="44"/>
        <v>N/A</v>
      </c>
      <c r="L63" s="25"/>
      <c r="M63" s="32" t="str">
        <f t="shared" si="45"/>
        <v>N/A</v>
      </c>
      <c r="N63" s="27"/>
      <c r="O63" s="33" t="s">
        <v>29</v>
      </c>
      <c r="P63" s="25"/>
      <c r="Q63" s="32" t="str">
        <f t="shared" si="46"/>
        <v>N/A</v>
      </c>
      <c r="R63" s="25"/>
      <c r="S63" s="32" t="str">
        <f t="shared" si="47"/>
        <v>N/A</v>
      </c>
      <c r="T63" s="27"/>
      <c r="U63" s="33" t="s">
        <v>29</v>
      </c>
      <c r="V63" s="25"/>
      <c r="W63" s="32" t="str">
        <f t="shared" si="48"/>
        <v>N/A</v>
      </c>
      <c r="X63" s="25"/>
      <c r="Y63" s="32" t="str">
        <f t="shared" si="49"/>
        <v>N/A</v>
      </c>
    </row>
    <row r="64" spans="2:25" x14ac:dyDescent="0.4">
      <c r="B64" s="18" t="s">
        <v>17</v>
      </c>
      <c r="C64" s="49">
        <v>4</v>
      </c>
      <c r="D64" s="50"/>
      <c r="E64" s="51"/>
      <c r="F64" s="50"/>
      <c r="I64" s="34" t="s">
        <v>17</v>
      </c>
      <c r="J64" s="38">
        <v>3</v>
      </c>
      <c r="K64" s="39"/>
      <c r="L64" s="45"/>
      <c r="M64" s="39"/>
      <c r="N64" s="27"/>
      <c r="O64" s="34" t="s">
        <v>17</v>
      </c>
      <c r="P64" s="38">
        <v>3</v>
      </c>
      <c r="Q64" s="39"/>
      <c r="R64" s="45">
        <v>4</v>
      </c>
      <c r="S64" s="39"/>
      <c r="T64" s="27"/>
      <c r="U64" s="34" t="s">
        <v>17</v>
      </c>
      <c r="V64" s="38">
        <v>3</v>
      </c>
      <c r="W64" s="39"/>
      <c r="X64" s="45">
        <v>4</v>
      </c>
      <c r="Y64" s="39"/>
    </row>
    <row r="65" spans="2:25" x14ac:dyDescent="0.4">
      <c r="B65" s="16" t="s">
        <v>18</v>
      </c>
      <c r="C65" s="52">
        <v>5</v>
      </c>
      <c r="D65" s="53"/>
      <c r="E65" s="54">
        <v>5</v>
      </c>
      <c r="F65" s="53"/>
      <c r="I65" s="33" t="s">
        <v>18</v>
      </c>
      <c r="J65" s="42">
        <v>5</v>
      </c>
      <c r="K65" s="43"/>
      <c r="L65" s="44">
        <v>5</v>
      </c>
      <c r="M65" s="43"/>
      <c r="N65" s="27"/>
      <c r="O65" s="33" t="s">
        <v>18</v>
      </c>
      <c r="P65" s="42">
        <v>5</v>
      </c>
      <c r="Q65" s="43"/>
      <c r="R65" s="44">
        <v>5</v>
      </c>
      <c r="S65" s="43"/>
      <c r="T65" s="27"/>
      <c r="U65" s="33" t="s">
        <v>18</v>
      </c>
      <c r="V65" s="42">
        <v>5</v>
      </c>
      <c r="W65" s="43"/>
      <c r="X65" s="44">
        <v>5</v>
      </c>
      <c r="Y65" s="43"/>
    </row>
    <row r="66" spans="2:25" x14ac:dyDescent="0.4">
      <c r="B66" s="12" t="s">
        <v>13</v>
      </c>
      <c r="C66" s="13">
        <f>IF(ISBLANK(E59) = FALSE, (_xlfn.STDEV.P(D59:D63)^2+_xlfn.STDEV.P(F59:F63)^2)^(1/2), _xlfn.STDEV.P(D59:D63))</f>
        <v>79214897.588774294</v>
      </c>
      <c r="D66" s="19" t="s">
        <v>16</v>
      </c>
      <c r="E66" s="49">
        <v>24</v>
      </c>
      <c r="F66" s="50"/>
      <c r="I66" s="31" t="s">
        <v>13</v>
      </c>
      <c r="J66" s="13">
        <f>IF(ISBLANK(L59) = FALSE, (_xlfn.STDEV.P(K59:K63)^2+_xlfn.STDEV.P(M59:M63)^2)^(1/2), _xlfn.STDEV.P(K59:K63))</f>
        <v>711805.21680208738</v>
      </c>
      <c r="K66" s="35" t="s">
        <v>16</v>
      </c>
      <c r="L66" s="38">
        <v>3</v>
      </c>
      <c r="M66" s="39"/>
      <c r="N66" s="27"/>
      <c r="O66" s="31" t="s">
        <v>13</v>
      </c>
      <c r="P66" s="13">
        <f>IF(ISBLANK(R59) = FALSE, (_xlfn.STDEV.P(Q59:Q63)^2+_xlfn.STDEV.P(S59:S63)^2)^(1/2), _xlfn.STDEV.P(Q59:Q63))</f>
        <v>3798245.2088650973</v>
      </c>
      <c r="Q66" s="35" t="s">
        <v>16</v>
      </c>
      <c r="R66" s="38">
        <v>3</v>
      </c>
      <c r="S66" s="39"/>
      <c r="T66" s="27"/>
      <c r="U66" s="31" t="s">
        <v>13</v>
      </c>
      <c r="V66" s="13">
        <f>IF(ISBLANK(X59) = FALSE, (_xlfn.STDEV.P(W59:W63)^2+_xlfn.STDEV.P(Y59:Y63)^2)^(1/2), _xlfn.STDEV.P(W59:W63))</f>
        <v>2026696.8199511243</v>
      </c>
      <c r="W66" s="35" t="s">
        <v>16</v>
      </c>
      <c r="X66" s="38">
        <v>3</v>
      </c>
      <c r="Y66" s="39"/>
    </row>
    <row r="67" spans="2:25" ht="14.25" thickBot="1" x14ac:dyDescent="0.45">
      <c r="B67" s="20" t="s">
        <v>19</v>
      </c>
      <c r="C67" s="26">
        <f>AVERAGE(D59:D63,F59:F63)</f>
        <v>225000000</v>
      </c>
      <c r="D67" s="22" t="s">
        <v>20</v>
      </c>
      <c r="E67" s="55">
        <v>250</v>
      </c>
      <c r="F67" s="56"/>
      <c r="I67" s="36" t="s">
        <v>19</v>
      </c>
      <c r="J67" s="21">
        <f>AVERAGE(K59:K63)</f>
        <v>6800000</v>
      </c>
      <c r="K67" s="37" t="s">
        <v>20</v>
      </c>
      <c r="L67" s="40">
        <f>0</f>
        <v>0</v>
      </c>
      <c r="M67" s="41"/>
      <c r="N67" s="27"/>
      <c r="O67" s="36" t="s">
        <v>19</v>
      </c>
      <c r="P67" s="21">
        <f>(AVERAGE(Q59:Q63)+AVERAGE(S59:S63))/2</f>
        <v>6000000</v>
      </c>
      <c r="Q67" s="37" t="s">
        <v>20</v>
      </c>
      <c r="R67" s="40">
        <v>25</v>
      </c>
      <c r="S67" s="41"/>
      <c r="T67" s="27"/>
      <c r="U67" s="36" t="s">
        <v>19</v>
      </c>
      <c r="V67" s="21">
        <f>(AVERAGE(W59:W63)+AVERAGE(Y59:Y63))/2</f>
        <v>4825000</v>
      </c>
      <c r="W67" s="37" t="s">
        <v>20</v>
      </c>
      <c r="X67" s="40">
        <v>50</v>
      </c>
      <c r="Y67" s="41"/>
    </row>
    <row r="68" spans="2:25" ht="14.25" thickBot="1" x14ac:dyDescent="0.45"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spans="2:25" x14ac:dyDescent="0.4">
      <c r="I69" s="28"/>
      <c r="J69" s="29" t="s">
        <v>22</v>
      </c>
      <c r="K69" s="30" t="s">
        <v>21</v>
      </c>
      <c r="L69" s="29" t="s">
        <v>22</v>
      </c>
      <c r="M69" s="30" t="s">
        <v>21</v>
      </c>
      <c r="N69" s="27"/>
      <c r="O69" s="28"/>
      <c r="P69" s="29" t="s">
        <v>22</v>
      </c>
      <c r="Q69" s="30" t="s">
        <v>21</v>
      </c>
      <c r="R69" s="29" t="s">
        <v>22</v>
      </c>
      <c r="S69" s="30" t="s">
        <v>21</v>
      </c>
      <c r="T69" s="27"/>
      <c r="U69" s="28"/>
      <c r="V69" s="29" t="s">
        <v>22</v>
      </c>
      <c r="W69" s="30" t="s">
        <v>21</v>
      </c>
      <c r="X69" s="29" t="s">
        <v>22</v>
      </c>
      <c r="Y69" s="30" t="s">
        <v>21</v>
      </c>
    </row>
    <row r="70" spans="2:25" ht="15" x14ac:dyDescent="0.45">
      <c r="I70" s="31" t="s">
        <v>25</v>
      </c>
      <c r="J70" s="15">
        <v>87</v>
      </c>
      <c r="K70" s="32">
        <f>IF(ISNUMBER(J70) = TRUE, J70*10^J$75*1000/J$76, "N/A")</f>
        <v>17400000</v>
      </c>
      <c r="L70" s="15">
        <v>7</v>
      </c>
      <c r="M70" s="32">
        <f>IF(ISNUMBER(L70) = TRUE, L70*10^L$75*1000/L$76, "N/A")</f>
        <v>14000000</v>
      </c>
      <c r="N70" s="27"/>
      <c r="O70" s="31" t="s">
        <v>25</v>
      </c>
      <c r="P70" s="15">
        <v>42</v>
      </c>
      <c r="Q70" s="32">
        <f>IF(ISNUMBER(P70) = TRUE, P70*10^P$75*1000/P$76, "N/A")</f>
        <v>8400000</v>
      </c>
      <c r="R70" s="15">
        <v>4</v>
      </c>
      <c r="S70" s="32">
        <f>IF(ISNUMBER(R70) = TRUE, R70*10^R$75*1000/R$76, "N/A")</f>
        <v>8000000</v>
      </c>
      <c r="T70" s="27"/>
      <c r="U70" s="31" t="s">
        <v>25</v>
      </c>
      <c r="V70" s="15">
        <v>24</v>
      </c>
      <c r="W70" s="32">
        <f>IF(ISNUMBER(V70) = TRUE, V70*10^V$75*1000/V$76, "N/A")</f>
        <v>4800000</v>
      </c>
      <c r="X70" s="15">
        <v>8</v>
      </c>
      <c r="Y70" s="32">
        <f>IF(ISNUMBER(X70) = TRUE, X70*10^X$75*1000/X$76, "N/A")</f>
        <v>16000000</v>
      </c>
    </row>
    <row r="71" spans="2:25" ht="15" x14ac:dyDescent="0.45">
      <c r="I71" s="31" t="s">
        <v>26</v>
      </c>
      <c r="J71" s="15">
        <v>73</v>
      </c>
      <c r="K71" s="32">
        <f t="shared" ref="K71:K74" si="50">IF(ISNUMBER(J71) = TRUE, J71*10^J$75*1000/J$76, "N/A")</f>
        <v>14600000</v>
      </c>
      <c r="L71" s="15">
        <v>10</v>
      </c>
      <c r="M71" s="32">
        <f t="shared" ref="M71:M74" si="51">IF(ISNUMBER(L71) = TRUE, L71*10^L$75*1000/L$76, "N/A")</f>
        <v>20000000</v>
      </c>
      <c r="N71" s="27"/>
      <c r="O71" s="31" t="s">
        <v>26</v>
      </c>
      <c r="P71" s="15">
        <v>44</v>
      </c>
      <c r="Q71" s="32">
        <f t="shared" ref="Q71:Q74" si="52">IF(ISNUMBER(P71) = TRUE, P71*10^P$75*1000/P$76, "N/A")</f>
        <v>8800000</v>
      </c>
      <c r="R71" s="15">
        <v>6</v>
      </c>
      <c r="S71" s="32">
        <f t="shared" ref="S71:S74" si="53">IF(ISNUMBER(R71) = TRUE, R71*10^R$75*1000/R$76, "N/A")</f>
        <v>12000000</v>
      </c>
      <c r="T71" s="27"/>
      <c r="U71" s="31" t="s">
        <v>26</v>
      </c>
      <c r="V71" s="15">
        <v>18</v>
      </c>
      <c r="W71" s="32">
        <f t="shared" ref="W71:W74" si="54">IF(ISNUMBER(V71) = TRUE, V71*10^V$75*1000/V$76, "N/A")</f>
        <v>3600000</v>
      </c>
      <c r="X71" s="15">
        <v>10</v>
      </c>
      <c r="Y71" s="32">
        <f t="shared" ref="Y71:Y74" si="55">IF(ISNUMBER(X71) = TRUE, X71*10^X$75*1000/X$76, "N/A")</f>
        <v>20000000</v>
      </c>
    </row>
    <row r="72" spans="2:25" ht="15" x14ac:dyDescent="0.45">
      <c r="I72" s="31" t="s">
        <v>27</v>
      </c>
      <c r="J72" s="15">
        <v>71</v>
      </c>
      <c r="K72" s="32">
        <f t="shared" si="50"/>
        <v>14200000</v>
      </c>
      <c r="L72" s="15">
        <v>8</v>
      </c>
      <c r="M72" s="32">
        <f t="shared" si="51"/>
        <v>16000000</v>
      </c>
      <c r="N72" s="27"/>
      <c r="O72" s="31" t="s">
        <v>27</v>
      </c>
      <c r="P72" s="15">
        <v>39</v>
      </c>
      <c r="Q72" s="32">
        <f t="shared" si="52"/>
        <v>7800000</v>
      </c>
      <c r="R72" s="15">
        <v>6</v>
      </c>
      <c r="S72" s="32">
        <f t="shared" si="53"/>
        <v>12000000</v>
      </c>
      <c r="T72" s="27"/>
      <c r="U72" s="31" t="s">
        <v>27</v>
      </c>
      <c r="V72" s="15">
        <v>30</v>
      </c>
      <c r="W72" s="32">
        <f t="shared" si="54"/>
        <v>6000000</v>
      </c>
      <c r="X72" s="15"/>
      <c r="Y72" s="32" t="str">
        <f t="shared" si="55"/>
        <v>N/A</v>
      </c>
    </row>
    <row r="73" spans="2:25" ht="15" x14ac:dyDescent="0.45">
      <c r="I73" s="31" t="s">
        <v>28</v>
      </c>
      <c r="J73" s="15"/>
      <c r="K73" s="32" t="str">
        <f t="shared" si="50"/>
        <v>N/A</v>
      </c>
      <c r="L73" s="15"/>
      <c r="M73" s="32" t="str">
        <f t="shared" si="51"/>
        <v>N/A</v>
      </c>
      <c r="N73" s="27"/>
      <c r="O73" s="31" t="s">
        <v>28</v>
      </c>
      <c r="P73" s="15">
        <v>41</v>
      </c>
      <c r="Q73" s="32">
        <f t="shared" si="52"/>
        <v>8200000</v>
      </c>
      <c r="R73" s="15">
        <v>8</v>
      </c>
      <c r="S73" s="32">
        <f t="shared" si="53"/>
        <v>16000000</v>
      </c>
      <c r="T73" s="27"/>
      <c r="U73" s="31" t="s">
        <v>28</v>
      </c>
      <c r="V73" s="15"/>
      <c r="W73" s="32" t="str">
        <f t="shared" si="54"/>
        <v>N/A</v>
      </c>
      <c r="X73" s="15"/>
      <c r="Y73" s="32" t="str">
        <f t="shared" si="55"/>
        <v>N/A</v>
      </c>
    </row>
    <row r="74" spans="2:25" ht="15" x14ac:dyDescent="0.45">
      <c r="I74" s="33" t="s">
        <v>29</v>
      </c>
      <c r="J74" s="25"/>
      <c r="K74" s="32" t="str">
        <f t="shared" si="50"/>
        <v>N/A</v>
      </c>
      <c r="L74" s="25"/>
      <c r="M74" s="32" t="str">
        <f t="shared" si="51"/>
        <v>N/A</v>
      </c>
      <c r="N74" s="27"/>
      <c r="O74" s="33" t="s">
        <v>29</v>
      </c>
      <c r="P74" s="25"/>
      <c r="Q74" s="32" t="str">
        <f t="shared" si="52"/>
        <v>N/A</v>
      </c>
      <c r="R74" s="25"/>
      <c r="S74" s="32" t="str">
        <f t="shared" si="53"/>
        <v>N/A</v>
      </c>
      <c r="T74" s="27"/>
      <c r="U74" s="33" t="s">
        <v>29</v>
      </c>
      <c r="V74" s="25"/>
      <c r="W74" s="32" t="str">
        <f t="shared" si="54"/>
        <v>N/A</v>
      </c>
      <c r="X74" s="25"/>
      <c r="Y74" s="32" t="str">
        <f t="shared" si="55"/>
        <v>N/A</v>
      </c>
    </row>
    <row r="75" spans="2:25" x14ac:dyDescent="0.4">
      <c r="I75" s="34" t="s">
        <v>17</v>
      </c>
      <c r="J75" s="38">
        <v>3</v>
      </c>
      <c r="K75" s="39"/>
      <c r="L75" s="45">
        <v>4</v>
      </c>
      <c r="M75" s="39"/>
      <c r="N75" s="27"/>
      <c r="O75" s="34" t="s">
        <v>17</v>
      </c>
      <c r="P75" s="38">
        <v>3</v>
      </c>
      <c r="Q75" s="39"/>
      <c r="R75" s="45">
        <v>4</v>
      </c>
      <c r="S75" s="39"/>
      <c r="T75" s="27"/>
      <c r="U75" s="34" t="s">
        <v>17</v>
      </c>
      <c r="V75" s="38">
        <v>3</v>
      </c>
      <c r="W75" s="39"/>
      <c r="X75" s="45">
        <v>4</v>
      </c>
      <c r="Y75" s="39"/>
    </row>
    <row r="76" spans="2:25" x14ac:dyDescent="0.4">
      <c r="I76" s="33" t="s">
        <v>18</v>
      </c>
      <c r="J76" s="42">
        <v>5</v>
      </c>
      <c r="K76" s="43"/>
      <c r="L76" s="44">
        <v>5</v>
      </c>
      <c r="M76" s="43"/>
      <c r="N76" s="27"/>
      <c r="O76" s="33" t="s">
        <v>18</v>
      </c>
      <c r="P76" s="42">
        <v>5</v>
      </c>
      <c r="Q76" s="43"/>
      <c r="R76" s="44">
        <v>5</v>
      </c>
      <c r="S76" s="43"/>
      <c r="T76" s="27"/>
      <c r="U76" s="33" t="s">
        <v>18</v>
      </c>
      <c r="V76" s="42">
        <v>5</v>
      </c>
      <c r="W76" s="43"/>
      <c r="X76" s="44">
        <v>5</v>
      </c>
      <c r="Y76" s="43"/>
    </row>
    <row r="77" spans="2:25" x14ac:dyDescent="0.4">
      <c r="I77" s="31" t="s">
        <v>13</v>
      </c>
      <c r="J77" s="13">
        <f>IF(ISBLANK(L70) = FALSE, (_xlfn.STDEV.P(K70:K74)^2+_xlfn.STDEV.P(M70:M74)^2)^(1/2), _xlfn.STDEV.P(K70:K74))</f>
        <v>2872087.8971384023</v>
      </c>
      <c r="K77" s="35" t="s">
        <v>16</v>
      </c>
      <c r="L77" s="38">
        <v>4</v>
      </c>
      <c r="M77" s="39"/>
      <c r="N77" s="27"/>
      <c r="O77" s="31" t="s">
        <v>13</v>
      </c>
      <c r="P77" s="13">
        <f>IF(ISBLANK(R70) = FALSE, (_xlfn.STDEV.P(Q70:Q74)^2+_xlfn.STDEV.P(S70:S74)^2)^(1/2), _xlfn.STDEV.P(Q70:Q74))</f>
        <v>2851315.4858766505</v>
      </c>
      <c r="Q77" s="35" t="s">
        <v>16</v>
      </c>
      <c r="R77" s="38">
        <v>4</v>
      </c>
      <c r="S77" s="39"/>
      <c r="T77" s="27"/>
      <c r="U77" s="31" t="s">
        <v>13</v>
      </c>
      <c r="V77" s="13">
        <f>IF(ISBLANK(X70) = FALSE, (_xlfn.STDEV.P(W70:W74)^2+_xlfn.STDEV.P(Y70:Y74)^2)^(1/2), _xlfn.STDEV.P(W70:W74))</f>
        <v>2227105.7451320086</v>
      </c>
      <c r="W77" s="35" t="s">
        <v>16</v>
      </c>
      <c r="X77" s="38">
        <v>4</v>
      </c>
      <c r="Y77" s="39"/>
    </row>
    <row r="78" spans="2:25" ht="14.25" thickBot="1" x14ac:dyDescent="0.45">
      <c r="I78" s="36" t="s">
        <v>19</v>
      </c>
      <c r="J78" s="21">
        <f>(AVERAGE(K70:K74)+AVERAGE(M70:M74))/2</f>
        <v>16033333.333333332</v>
      </c>
      <c r="K78" s="37" t="s">
        <v>20</v>
      </c>
      <c r="L78" s="40">
        <v>0</v>
      </c>
      <c r="M78" s="41"/>
      <c r="N78" s="27"/>
      <c r="O78" s="36" t="s">
        <v>19</v>
      </c>
      <c r="P78" s="21">
        <f>(AVERAGE(Q70:Q74)+AVERAGE(S70:S74))/2</f>
        <v>10150000</v>
      </c>
      <c r="Q78" s="37" t="s">
        <v>20</v>
      </c>
      <c r="R78" s="40">
        <v>25</v>
      </c>
      <c r="S78" s="41"/>
      <c r="T78" s="27"/>
      <c r="U78" s="36" t="s">
        <v>19</v>
      </c>
      <c r="V78" s="21">
        <f>(AVERAGE(W70:W74)+AVERAGE(Y70:Y74))/2</f>
        <v>11400000</v>
      </c>
      <c r="W78" s="37" t="s">
        <v>20</v>
      </c>
      <c r="X78" s="40">
        <v>50</v>
      </c>
      <c r="Y78" s="41"/>
    </row>
  </sheetData>
  <mergeCells count="240">
    <mergeCell ref="C9:D9"/>
    <mergeCell ref="E9:F9"/>
    <mergeCell ref="C10:D10"/>
    <mergeCell ref="E10:F10"/>
    <mergeCell ref="E11:F11"/>
    <mergeCell ref="E12:F12"/>
    <mergeCell ref="E32:F32"/>
    <mergeCell ref="E33:F33"/>
    <mergeCell ref="E34:F34"/>
    <mergeCell ref="C20:D20"/>
    <mergeCell ref="E20:F20"/>
    <mergeCell ref="C21:D21"/>
    <mergeCell ref="E21:F21"/>
    <mergeCell ref="E22:F22"/>
    <mergeCell ref="E23:F23"/>
    <mergeCell ref="I2:N2"/>
    <mergeCell ref="O2:R2"/>
    <mergeCell ref="S2:Y2"/>
    <mergeCell ref="C64:D64"/>
    <mergeCell ref="E64:F64"/>
    <mergeCell ref="C65:D65"/>
    <mergeCell ref="E65:F65"/>
    <mergeCell ref="E66:F66"/>
    <mergeCell ref="E67:F67"/>
    <mergeCell ref="C53:D53"/>
    <mergeCell ref="E53:F53"/>
    <mergeCell ref="C54:D54"/>
    <mergeCell ref="E54:F54"/>
    <mergeCell ref="E55:F55"/>
    <mergeCell ref="E56:F56"/>
    <mergeCell ref="C42:D42"/>
    <mergeCell ref="E42:F42"/>
    <mergeCell ref="C43:D43"/>
    <mergeCell ref="E43:F43"/>
    <mergeCell ref="E44:F44"/>
    <mergeCell ref="E45:F45"/>
    <mergeCell ref="C31:D31"/>
    <mergeCell ref="E31:F31"/>
    <mergeCell ref="C32:D32"/>
    <mergeCell ref="X9:Y9"/>
    <mergeCell ref="J10:K10"/>
    <mergeCell ref="L10:M10"/>
    <mergeCell ref="P10:Q10"/>
    <mergeCell ref="R10:S10"/>
    <mergeCell ref="V10:W10"/>
    <mergeCell ref="X10:Y10"/>
    <mergeCell ref="J9:K9"/>
    <mergeCell ref="L9:M9"/>
    <mergeCell ref="P9:Q9"/>
    <mergeCell ref="R9:S9"/>
    <mergeCell ref="V9:W9"/>
    <mergeCell ref="J20:K20"/>
    <mergeCell ref="L20:M20"/>
    <mergeCell ref="P20:Q20"/>
    <mergeCell ref="R20:S20"/>
    <mergeCell ref="V20:W20"/>
    <mergeCell ref="X20:Y20"/>
    <mergeCell ref="L11:M11"/>
    <mergeCell ref="R11:S11"/>
    <mergeCell ref="X11:Y11"/>
    <mergeCell ref="L12:M12"/>
    <mergeCell ref="R12:S12"/>
    <mergeCell ref="X12:Y12"/>
    <mergeCell ref="L22:M22"/>
    <mergeCell ref="R22:S22"/>
    <mergeCell ref="X22:Y22"/>
    <mergeCell ref="L23:M23"/>
    <mergeCell ref="R23:S23"/>
    <mergeCell ref="X23:Y23"/>
    <mergeCell ref="J21:K21"/>
    <mergeCell ref="L21:M21"/>
    <mergeCell ref="P21:Q21"/>
    <mergeCell ref="R21:S21"/>
    <mergeCell ref="V21:W21"/>
    <mergeCell ref="X21:Y21"/>
    <mergeCell ref="J32:K32"/>
    <mergeCell ref="L32:M32"/>
    <mergeCell ref="P32:Q32"/>
    <mergeCell ref="R32:S32"/>
    <mergeCell ref="V32:W32"/>
    <mergeCell ref="X32:Y32"/>
    <mergeCell ref="J31:K31"/>
    <mergeCell ref="L31:M31"/>
    <mergeCell ref="P31:Q31"/>
    <mergeCell ref="R31:S31"/>
    <mergeCell ref="V31:W31"/>
    <mergeCell ref="X31:Y31"/>
    <mergeCell ref="J42:K42"/>
    <mergeCell ref="L42:M42"/>
    <mergeCell ref="P42:Q42"/>
    <mergeCell ref="R42:S42"/>
    <mergeCell ref="V42:W42"/>
    <mergeCell ref="X42:Y42"/>
    <mergeCell ref="L33:M33"/>
    <mergeCell ref="R33:S33"/>
    <mergeCell ref="X33:Y33"/>
    <mergeCell ref="L34:M34"/>
    <mergeCell ref="R34:S34"/>
    <mergeCell ref="X34:Y34"/>
    <mergeCell ref="L45:M45"/>
    <mergeCell ref="R45:S45"/>
    <mergeCell ref="X45:Y45"/>
    <mergeCell ref="J43:K43"/>
    <mergeCell ref="L43:M43"/>
    <mergeCell ref="P43:Q43"/>
    <mergeCell ref="R43:S43"/>
    <mergeCell ref="V43:W43"/>
    <mergeCell ref="X43:Y43"/>
    <mergeCell ref="J54:K54"/>
    <mergeCell ref="L54:M54"/>
    <mergeCell ref="P54:Q54"/>
    <mergeCell ref="R54:S54"/>
    <mergeCell ref="V54:W54"/>
    <mergeCell ref="X54:Y54"/>
    <mergeCell ref="J53:K53"/>
    <mergeCell ref="L53:M53"/>
    <mergeCell ref="P53:Q53"/>
    <mergeCell ref="R53:S53"/>
    <mergeCell ref="V53:W53"/>
    <mergeCell ref="X53:Y53"/>
    <mergeCell ref="J65:K65"/>
    <mergeCell ref="L65:M65"/>
    <mergeCell ref="P65:Q65"/>
    <mergeCell ref="R65:S65"/>
    <mergeCell ref="V65:W65"/>
    <mergeCell ref="X65:Y65"/>
    <mergeCell ref="J64:K64"/>
    <mergeCell ref="L64:M64"/>
    <mergeCell ref="P64:Q64"/>
    <mergeCell ref="R64:S64"/>
    <mergeCell ref="V64:W64"/>
    <mergeCell ref="X64:Y64"/>
    <mergeCell ref="J76:K76"/>
    <mergeCell ref="L76:M76"/>
    <mergeCell ref="P76:Q76"/>
    <mergeCell ref="R76:S76"/>
    <mergeCell ref="V76:W76"/>
    <mergeCell ref="X76:Y76"/>
    <mergeCell ref="J75:K75"/>
    <mergeCell ref="L75:M75"/>
    <mergeCell ref="P75:Q75"/>
    <mergeCell ref="R75:S75"/>
    <mergeCell ref="V75:W75"/>
    <mergeCell ref="X75:Y75"/>
    <mergeCell ref="AB2:AG2"/>
    <mergeCell ref="AH2:AJ2"/>
    <mergeCell ref="AK2:AR2"/>
    <mergeCell ref="L77:M77"/>
    <mergeCell ref="R77:S77"/>
    <mergeCell ref="X77:Y77"/>
    <mergeCell ref="L78:M78"/>
    <mergeCell ref="R78:S78"/>
    <mergeCell ref="X78:Y78"/>
    <mergeCell ref="L66:M66"/>
    <mergeCell ref="R66:S66"/>
    <mergeCell ref="X66:Y66"/>
    <mergeCell ref="L67:M67"/>
    <mergeCell ref="R67:S67"/>
    <mergeCell ref="X67:Y67"/>
    <mergeCell ref="L55:M55"/>
    <mergeCell ref="R55:S55"/>
    <mergeCell ref="X55:Y55"/>
    <mergeCell ref="L56:M56"/>
    <mergeCell ref="R56:S56"/>
    <mergeCell ref="X56:Y56"/>
    <mergeCell ref="L44:M44"/>
    <mergeCell ref="R44:S44"/>
    <mergeCell ref="X44:Y44"/>
    <mergeCell ref="AQ9:AR9"/>
    <mergeCell ref="AC10:AD10"/>
    <mergeCell ref="AE10:AF10"/>
    <mergeCell ref="AI10:AJ10"/>
    <mergeCell ref="AK10:AL10"/>
    <mergeCell ref="AO10:AP10"/>
    <mergeCell ref="AQ10:AR10"/>
    <mergeCell ref="AC9:AD9"/>
    <mergeCell ref="AE9:AF9"/>
    <mergeCell ref="AI9:AJ9"/>
    <mergeCell ref="AK9:AL9"/>
    <mergeCell ref="AO9:AP9"/>
    <mergeCell ref="AC20:AD20"/>
    <mergeCell ref="AE20:AF20"/>
    <mergeCell ref="AI20:AJ20"/>
    <mergeCell ref="AK20:AL20"/>
    <mergeCell ref="AO20:AP20"/>
    <mergeCell ref="AQ20:AR20"/>
    <mergeCell ref="AE11:AF11"/>
    <mergeCell ref="AK11:AL11"/>
    <mergeCell ref="AQ11:AR11"/>
    <mergeCell ref="AE12:AF12"/>
    <mergeCell ref="AK12:AL12"/>
    <mergeCell ref="AQ12:AR12"/>
    <mergeCell ref="AE22:AF22"/>
    <mergeCell ref="AK22:AL22"/>
    <mergeCell ref="AQ22:AR22"/>
    <mergeCell ref="AE23:AF23"/>
    <mergeCell ref="AK23:AL23"/>
    <mergeCell ref="AQ23:AR23"/>
    <mergeCell ref="AC21:AD21"/>
    <mergeCell ref="AE21:AF21"/>
    <mergeCell ref="AI21:AJ21"/>
    <mergeCell ref="AK21:AL21"/>
    <mergeCell ref="AO21:AP21"/>
    <mergeCell ref="AQ21:AR21"/>
    <mergeCell ref="AC32:AD32"/>
    <mergeCell ref="AE32:AF32"/>
    <mergeCell ref="AI32:AJ32"/>
    <mergeCell ref="AK32:AL32"/>
    <mergeCell ref="AO32:AP32"/>
    <mergeCell ref="AQ32:AR32"/>
    <mergeCell ref="AC31:AD31"/>
    <mergeCell ref="AE31:AF31"/>
    <mergeCell ref="AI31:AJ31"/>
    <mergeCell ref="AK31:AL31"/>
    <mergeCell ref="AO31:AP31"/>
    <mergeCell ref="AQ31:AR31"/>
    <mergeCell ref="AC42:AD42"/>
    <mergeCell ref="AE42:AF42"/>
    <mergeCell ref="AI42:AJ42"/>
    <mergeCell ref="AK42:AL42"/>
    <mergeCell ref="AO42:AP42"/>
    <mergeCell ref="AQ42:AR42"/>
    <mergeCell ref="AE33:AF33"/>
    <mergeCell ref="AK33:AL33"/>
    <mergeCell ref="AQ33:AR33"/>
    <mergeCell ref="AE34:AF34"/>
    <mergeCell ref="AK34:AL34"/>
    <mergeCell ref="AQ34:AR34"/>
    <mergeCell ref="AE44:AF44"/>
    <mergeCell ref="AK44:AL44"/>
    <mergeCell ref="AQ44:AR44"/>
    <mergeCell ref="AE45:AF45"/>
    <mergeCell ref="AK45:AL45"/>
    <mergeCell ref="AQ45:AR45"/>
    <mergeCell ref="AC43:AD43"/>
    <mergeCell ref="AE43:AF43"/>
    <mergeCell ref="AI43:AJ43"/>
    <mergeCell ref="AK43:AL43"/>
    <mergeCell ref="AO43:AP43"/>
    <mergeCell ref="AQ43:AR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2026-08-01T19:24:06Z</dcterms:modified>
</cp:coreProperties>
</file>