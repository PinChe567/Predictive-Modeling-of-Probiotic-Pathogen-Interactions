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/>
  <mc:AlternateContent xmlns:mc="http://schemas.openxmlformats.org/markup-compatibility/2006">
    <mc:Choice Requires="x15">
      <x15ac:absPath xmlns:x15ac="http://schemas.microsoft.com/office/spreadsheetml/2010/11/ac" url="https://d.docs.live.net/115ecff94b6b5a35/桌面/"/>
    </mc:Choice>
  </mc:AlternateContent>
  <xr:revisionPtr revIDLastSave="680" documentId="11_AD4DBB64A54DDB1B405E389605D904C94E90DF19" xr6:coauthVersionLast="47" xr6:coauthVersionMax="47" xr10:uidLastSave="{154F93D5-3A88-4016-9926-30CC47D518A4}"/>
  <bookViews>
    <workbookView xWindow="-98" yWindow="-98" windowWidth="21795" windowHeight="12975" firstSheet="2" activeTab="3" xr2:uid="{00000000-000D-0000-FFFF-FFFF00000000}"/>
  </bookViews>
  <sheets>
    <sheet name="20240910 chloramphenical test" sheetId="2" r:id="rId1"/>
    <sheet name="20240920 antibiotic test" sheetId="3" r:id="rId2"/>
    <sheet name="chloramphenical test raw data" sheetId="1" r:id="rId3"/>
    <sheet name="fina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0" i="1" l="1"/>
  <c r="AK26" i="1"/>
  <c r="AK27" i="1"/>
  <c r="AS20" i="1" s="1"/>
  <c r="AK69" i="1"/>
  <c r="AS50" i="1" s="1"/>
  <c r="AK68" i="1"/>
  <c r="AR50" i="1" s="1"/>
  <c r="AK62" i="1"/>
  <c r="AS45" i="1" s="1"/>
  <c r="AK61" i="1"/>
  <c r="AR45" i="1" s="1"/>
  <c r="AK55" i="1"/>
  <c r="AS40" i="1" s="1"/>
  <c r="AK54" i="1"/>
  <c r="AR40" i="1" s="1"/>
  <c r="AK48" i="1"/>
  <c r="AS35" i="1" s="1"/>
  <c r="AK47" i="1"/>
  <c r="AR35" i="1" s="1"/>
  <c r="AK41" i="1"/>
  <c r="AS30" i="1" s="1"/>
  <c r="AR30" i="1"/>
  <c r="AK34" i="1"/>
  <c r="AS25" i="1" s="1"/>
  <c r="AK33" i="1"/>
  <c r="AR25" i="1" s="1"/>
  <c r="AR20" i="1"/>
  <c r="AK20" i="1"/>
  <c r="AS15" i="1" s="1"/>
  <c r="AK19" i="1"/>
  <c r="AR15" i="1" s="1"/>
  <c r="AK13" i="1"/>
  <c r="AS10" i="1" s="1"/>
  <c r="AK12" i="1"/>
  <c r="AR10" i="1" s="1"/>
  <c r="AD55" i="1"/>
  <c r="AS39" i="1" s="1"/>
  <c r="AD54" i="1"/>
  <c r="AR39" i="1" s="1"/>
  <c r="AD69" i="1"/>
  <c r="AS49" i="1" s="1"/>
  <c r="AD68" i="1"/>
  <c r="AR49" i="1" s="1"/>
  <c r="AD62" i="1"/>
  <c r="AS44" i="1" s="1"/>
  <c r="AD61" i="1"/>
  <c r="AR44" i="1" s="1"/>
  <c r="AD48" i="1"/>
  <c r="AS34" i="1" s="1"/>
  <c r="AD47" i="1"/>
  <c r="AR34" i="1" s="1"/>
  <c r="AD41" i="1"/>
  <c r="AS29" i="1" s="1"/>
  <c r="AD40" i="1"/>
  <c r="AR29" i="1" s="1"/>
  <c r="AD34" i="1"/>
  <c r="AS24" i="1" s="1"/>
  <c r="AD33" i="1"/>
  <c r="AR24" i="1" s="1"/>
  <c r="AD27" i="1"/>
  <c r="AS19" i="1" s="1"/>
  <c r="AD26" i="1"/>
  <c r="AR19" i="1" s="1"/>
  <c r="AD20" i="1"/>
  <c r="AS14" i="1" s="1"/>
  <c r="AD19" i="1"/>
  <c r="AR14" i="1" s="1"/>
  <c r="AD13" i="1"/>
  <c r="AS9" i="1" s="1"/>
  <c r="AD12" i="1"/>
  <c r="AR9" i="1" s="1"/>
  <c r="AK6" i="1"/>
  <c r="AS5" i="1" s="1"/>
  <c r="AD6" i="1"/>
  <c r="AS4" i="1" s="1"/>
  <c r="AK5" i="1"/>
  <c r="AR5" i="1" s="1"/>
  <c r="AD5" i="1"/>
  <c r="AR4" i="1" s="1"/>
  <c r="J6" i="1"/>
  <c r="R5" i="1" s="1"/>
  <c r="J20" i="1"/>
  <c r="R15" i="1" s="1"/>
  <c r="J27" i="1"/>
  <c r="R20" i="1" s="1"/>
  <c r="J34" i="1"/>
  <c r="R25" i="1" s="1"/>
  <c r="J33" i="1"/>
  <c r="Q25" i="1" s="1"/>
  <c r="J26" i="1"/>
  <c r="Q20" i="1" s="1"/>
  <c r="J19" i="1"/>
  <c r="Q15" i="1" s="1"/>
  <c r="J5" i="1"/>
  <c r="Q5" i="1" s="1"/>
  <c r="C34" i="1"/>
  <c r="R24" i="1" s="1"/>
  <c r="C27" i="1"/>
  <c r="R19" i="1" s="1"/>
  <c r="C20" i="1"/>
  <c r="R14" i="1" s="1"/>
  <c r="C13" i="1"/>
  <c r="R9" i="1" s="1"/>
  <c r="C6" i="1"/>
  <c r="R4" i="1" s="1"/>
  <c r="C33" i="1"/>
  <c r="Q24" i="1" s="1"/>
  <c r="C26" i="1"/>
  <c r="Q19" i="1" s="1"/>
  <c r="C19" i="1"/>
  <c r="Q14" i="1" s="1"/>
  <c r="C12" i="1"/>
  <c r="Q9" i="1" s="1"/>
  <c r="C5" i="1"/>
  <c r="Q4" i="1" s="1"/>
  <c r="J12" i="1" l="1"/>
  <c r="Q10" i="1" s="1"/>
  <c r="J13" i="1"/>
  <c r="R10" i="1" s="1"/>
</calcChain>
</file>

<file path=xl/sharedStrings.xml><?xml version="1.0" encoding="utf-8"?>
<sst xmlns="http://schemas.openxmlformats.org/spreadsheetml/2006/main" count="354" uniqueCount="45">
  <si>
    <t>chloramphenical 0</t>
  </si>
  <si>
    <t>duration</t>
  </si>
  <si>
    <t>OD600</t>
  </si>
  <si>
    <t>OD SD</t>
  </si>
  <si>
    <t>chloramphenical 20</t>
  </si>
  <si>
    <t>chloramphenical 34</t>
  </si>
  <si>
    <t>chloramphenical 350</t>
  </si>
  <si>
    <t>Ampicilin</t>
  </si>
  <si>
    <t>chloramphenical 0</t>
    <phoneticPr fontId="1" type="noConversion"/>
  </si>
  <si>
    <t>chloramphenical 20 ACE</t>
    <phoneticPr fontId="1" type="noConversion"/>
  </si>
  <si>
    <t>chloramphenical 34 ACE</t>
    <phoneticPr fontId="1" type="noConversion"/>
  </si>
  <si>
    <t>chloramphenical 350 ACE</t>
    <phoneticPr fontId="1" type="noConversion"/>
  </si>
  <si>
    <r>
      <t xml:space="preserve">chloramphenical 20 </t>
    </r>
    <r>
      <rPr>
        <sz val="11"/>
        <color theme="1"/>
        <rFont val="Microsoft JhengHei"/>
        <family val="1"/>
      </rPr>
      <t>蕭</t>
    </r>
    <phoneticPr fontId="1" type="noConversion"/>
  </si>
  <si>
    <r>
      <t xml:space="preserve">chloramphenical 34 </t>
    </r>
    <r>
      <rPr>
        <sz val="11"/>
        <color theme="1"/>
        <rFont val="Microsoft JhengHei"/>
        <family val="1"/>
      </rPr>
      <t>蕭</t>
    </r>
    <phoneticPr fontId="1" type="noConversion"/>
  </si>
  <si>
    <r>
      <t xml:space="preserve">chloramphenical 350 </t>
    </r>
    <r>
      <rPr>
        <sz val="11"/>
        <color theme="1"/>
        <rFont val="Microsoft JhengHei"/>
        <family val="1"/>
      </rPr>
      <t>蕭</t>
    </r>
    <phoneticPr fontId="1" type="noConversion"/>
  </si>
  <si>
    <t>erythromycin 200</t>
    <phoneticPr fontId="1" type="noConversion"/>
  </si>
  <si>
    <t>erythromycin 300</t>
    <phoneticPr fontId="1" type="noConversion"/>
  </si>
  <si>
    <t>Ampicillin 100</t>
    <phoneticPr fontId="1" type="noConversion"/>
  </si>
  <si>
    <r>
      <rPr>
        <sz val="11"/>
        <color theme="1"/>
        <rFont val="Microsoft JhengHei"/>
        <family val="1"/>
      </rPr>
      <t>濃度單位</t>
    </r>
    <r>
      <rPr>
        <sz val="11"/>
        <color theme="1"/>
        <rFont val="Times New Roman"/>
        <family val="1"/>
      </rPr>
      <t xml:space="preserve"> ug/mL</t>
    </r>
    <phoneticPr fontId="1" type="noConversion"/>
  </si>
  <si>
    <r>
      <t>濃度單位</t>
    </r>
    <r>
      <rPr>
        <sz val="11"/>
        <color theme="1"/>
        <rFont val="Times New Roman"/>
        <family val="1"/>
      </rPr>
      <t xml:space="preserve"> ug/mL</t>
    </r>
  </si>
  <si>
    <t>E. coli competent cell</t>
    <phoneticPr fontId="1" type="noConversion"/>
  </si>
  <si>
    <r>
      <t>37</t>
    </r>
    <r>
      <rPr>
        <sz val="11"/>
        <color theme="1"/>
        <rFont val="標楷體"/>
        <family val="4"/>
        <charset val="136"/>
      </rPr>
      <t>度吸</t>
    </r>
    <phoneticPr fontId="1" type="noConversion"/>
  </si>
  <si>
    <t>2024/9/10-2024/9/11</t>
    <phoneticPr fontId="1" type="noConversion"/>
  </si>
  <si>
    <t>2024/9/20-2024/9/21</t>
    <phoneticPr fontId="1" type="noConversion"/>
  </si>
  <si>
    <t>OD</t>
    <phoneticPr fontId="1" type="noConversion"/>
  </si>
  <si>
    <t>duration</t>
    <phoneticPr fontId="1" type="noConversion"/>
  </si>
  <si>
    <t>OD600</t>
    <phoneticPr fontId="1" type="noConversion"/>
  </si>
  <si>
    <t>OD SD</t>
    <phoneticPr fontId="1" type="noConversion"/>
  </si>
  <si>
    <t>OD average</t>
    <phoneticPr fontId="1" type="noConversion"/>
  </si>
  <si>
    <r>
      <rPr>
        <sz val="11"/>
        <color theme="1"/>
        <rFont val="標楷體"/>
        <family val="4"/>
        <charset val="136"/>
      </rPr>
      <t>時間</t>
    </r>
    <r>
      <rPr>
        <sz val="11"/>
        <color theme="1"/>
        <rFont val="Times New Roman"/>
        <family val="1"/>
      </rPr>
      <t xml:space="preserve"> (hr)</t>
    </r>
    <phoneticPr fontId="1" type="noConversion"/>
  </si>
  <si>
    <t>chloramphenical 20</t>
    <phoneticPr fontId="1" type="noConversion"/>
  </si>
  <si>
    <t>chloramphenical 34</t>
    <phoneticPr fontId="1" type="noConversion"/>
  </si>
  <si>
    <t>chloramphenical 350</t>
    <phoneticPr fontId="1" type="noConversion"/>
  </si>
  <si>
    <t>erythromycin 200</t>
  </si>
  <si>
    <t>erythromycin 300</t>
  </si>
  <si>
    <t>Ampicillin 100</t>
  </si>
  <si>
    <t>抗生素單位 (ug/ml)</t>
  </si>
  <si>
    <t>下面做三張heat map</t>
  </si>
  <si>
    <t>第一次抗生素效果測試</t>
  </si>
  <si>
    <t>control (without antibiotic)</t>
  </si>
  <si>
    <t xml:space="preserve">chloramphenical 20 </t>
  </si>
  <si>
    <t xml:space="preserve">chloramphenical 34 </t>
  </si>
  <si>
    <t xml:space="preserve">chloramphenical 350 </t>
  </si>
  <si>
    <t>第二次抗生素效果測試</t>
  </si>
  <si>
    <t>第三次抗生素效果測試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</si>
</sst>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Times New Roman"/>
      <family val="1"/>
    </font>
    <font>
      <sz val="11"/>
      <color theme="1"/>
      <name val="Microsoft JhengHei"/>
      <family val="1"/>
    </font>
    <font>
      <sz val="11"/>
      <color theme="1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/>
    <xf numFmtId="0" fontId="3" fillId="4" borderId="0" xfId="0" applyFont="1" applyFill="1"/>
    <xf numFmtId="0" fontId="0" fillId="2" borderId="0" xfId="0" applyFill="1"/>
    <xf numFmtId="0" fontId="0" fillId="4" borderId="0" xfId="0" applyFill="1"/>
    <xf numFmtId="0" fontId="5" fillId="0" borderId="0" xfId="0" applyFont="1"/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5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'chloramphenical test raw data'!$P$2:$R$2</c:f>
              <c:strCache>
                <c:ptCount val="3"/>
                <c:pt idx="0">
                  <c:v>chloramphenical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'chloramphenical test raw data'!$P$4:$P$5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cat>
          <c:val>
            <c:numRef>
              <c:f>'chloramphenical test raw data'!$Q$4:$Q$5</c:f>
              <c:numCache>
                <c:formatCode>General</c:formatCode>
                <c:ptCount val="2"/>
                <c:pt idx="0">
                  <c:v>8.7999999999999995E-2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B-45F8-BB4E-0ADA0BF45398}"/>
            </c:ext>
          </c:extLst>
        </c:ser>
        <c:ser>
          <c:idx val="1"/>
          <c:order val="1"/>
          <c:tx>
            <c:strRef>
              <c:f>'chloramphenical test raw data'!$P$7:$R$7</c:f>
              <c:strCache>
                <c:ptCount val="3"/>
                <c:pt idx="0">
                  <c:v>chloramphenical 20</c:v>
                </c:pt>
                <c:pt idx="1">
                  <c:v>2</c:v>
                </c:pt>
                <c:pt idx="2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'chloramphenical test raw data'!$P$4:$P$5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cat>
          <c:val>
            <c:numRef>
              <c:f>'chloramphenical test raw data'!$Q$9:$Q$10</c:f>
              <c:numCache>
                <c:formatCode>General</c:formatCode>
                <c:ptCount val="2"/>
                <c:pt idx="0">
                  <c:v>5.5000000000000007E-2</c:v>
                </c:pt>
                <c:pt idx="1">
                  <c:v>1.9600000000000002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B-45F8-BB4E-0ADA0BF45398}"/>
            </c:ext>
          </c:extLst>
        </c:ser>
        <c:ser>
          <c:idx val="2"/>
          <c:order val="2"/>
          <c:tx>
            <c:strRef>
              <c:f>'chloramphenical test raw data'!$P$12:$R$12</c:f>
              <c:strCache>
                <c:ptCount val="3"/>
                <c:pt idx="0">
                  <c:v>chloramphenical 34</c:v>
                </c:pt>
                <c:pt idx="1">
                  <c:v>1.96</c:v>
                </c:pt>
                <c:pt idx="2">
                  <c:v>0.021908902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'chloramphenical test raw data'!$P$4:$P$5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cat>
          <c:val>
            <c:numRef>
              <c:f>'chloramphenical test raw data'!$Q$14:$Q$15</c:f>
              <c:numCache>
                <c:formatCode>General</c:formatCode>
                <c:ptCount val="2"/>
                <c:pt idx="0">
                  <c:v>7.1999999999999995E-2</c:v>
                </c:pt>
                <c:pt idx="1">
                  <c:v>1.9299999999999997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B-45F8-BB4E-0ADA0BF45398}"/>
            </c:ext>
          </c:extLst>
        </c:ser>
        <c:ser>
          <c:idx val="3"/>
          <c:order val="3"/>
          <c:tx>
            <c:strRef>
              <c:f>'chloramphenical test raw data'!$P$17:$R$17</c:f>
              <c:strCache>
                <c:ptCount val="3"/>
                <c:pt idx="0">
                  <c:v>chloramphenical 350</c:v>
                </c:pt>
                <c:pt idx="1">
                  <c:v>1.93</c:v>
                </c:pt>
                <c:pt idx="2">
                  <c:v>0.017888544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'chloramphenical test raw data'!$P$4:$P$5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cat>
          <c:val>
            <c:numRef>
              <c:f>'chloramphenical test raw data'!$Q$19:$Q$20</c:f>
              <c:numCache>
                <c:formatCode>General</c:formatCode>
                <c:ptCount val="2"/>
                <c:pt idx="0">
                  <c:v>7.9000000000000001E-2</c:v>
                </c:pt>
                <c:pt idx="1">
                  <c:v>1.5840000000000001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FB-45F8-BB4E-0ADA0BF45398}"/>
            </c:ext>
          </c:extLst>
        </c:ser>
        <c:ser>
          <c:idx val="4"/>
          <c:order val="4"/>
          <c:tx>
            <c:strRef>
              <c:f>'chloramphenical test raw data'!$P$22:$R$22</c:f>
              <c:strCache>
                <c:ptCount val="3"/>
                <c:pt idx="0">
                  <c:v>Ampicillin 100</c:v>
                </c:pt>
                <c:pt idx="1">
                  <c:v>1.584</c:v>
                </c:pt>
                <c:pt idx="2">
                  <c:v>0.019595918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'chloramphenical test raw data'!$P$4:$P$5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cat>
          <c:val>
            <c:numRef>
              <c:f>'chloramphenical test raw data'!$Q$24:$Q$25</c:f>
              <c:numCache>
                <c:formatCode>General</c:formatCode>
                <c:ptCount val="2"/>
                <c:pt idx="0">
                  <c:v>7.9999999999999988E-2</c:v>
                </c:pt>
                <c:pt idx="1">
                  <c:v>5.2000000000000005E-2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FB-45F8-BB4E-0ADA0BF45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137136"/>
        <c:axId val="415134256"/>
      </c:barChart>
      <c:catAx>
        <c:axId val="41513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34256"/>
        <c:crosses val="autoZero"/>
        <c:auto val="1"/>
        <c:lblAlgn val="ctr"/>
        <c:lblOffset val="100"/>
        <c:noMultiLvlLbl val="0"/>
      </c:catAx>
      <c:valAx>
        <c:axId val="41513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3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antibiotic comfirm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('chloramphenical test raw data'!$AQ$2:$AS$2,'chloramphenical test raw data'!$AQ$7:$AS$7,'chloramphenical test raw data'!$AQ$12:$AS$12,'chloramphenical test raw data'!$AQ$17:$AS$17,'chloramphenical test raw data'!$AQ$22:$AS$22,'chloramphenical test raw data'!$AQ$27:$AS$27,'chloramphenical test raw data'!$AQ$32:$AS$32,'chloramphenical test raw data'!$AQ$37:$AS$37,'chloramphenical test raw data'!$AQ$42:$AS$42,'chloramphenical test raw data'!$AQ$47:$AS$47)</c:f>
              <c:multiLvlStrCache>
                <c:ptCount val="10"/>
                <c:lvl/>
                <c:lvl/>
                <c:lvl>
                  <c:pt idx="0">
                    <c:v>chloramphenical 0</c:v>
                  </c:pt>
                  <c:pt idx="1">
                    <c:v>chloramphenical 20 ACE</c:v>
                  </c:pt>
                  <c:pt idx="2">
                    <c:v>chloramphenical 34 ACE</c:v>
                  </c:pt>
                  <c:pt idx="3">
                    <c:v>chloramphenical 350 ACE</c:v>
                  </c:pt>
                  <c:pt idx="4">
                    <c:v>chloramphenical 20 蕭</c:v>
                  </c:pt>
                  <c:pt idx="5">
                    <c:v>chloramphenical 34 蕭</c:v>
                  </c:pt>
                  <c:pt idx="6">
                    <c:v>chloramphenical 350 蕭</c:v>
                  </c:pt>
                  <c:pt idx="7">
                    <c:v>erythromycin 200</c:v>
                  </c:pt>
                  <c:pt idx="8">
                    <c:v>erythromycin 300</c:v>
                  </c:pt>
                  <c:pt idx="9">
                    <c:v>Ampicillin 100</c:v>
                  </c:pt>
                </c:lvl>
              </c:multiLvlStrCache>
            </c:multiLvlStrRef>
          </c:cat>
          <c:val>
            <c:numRef>
              <c:f>('chloramphenical test raw data'!$AR$5,'chloramphenical test raw data'!$AR$10,'chloramphenical test raw data'!$AR$15,'chloramphenical test raw data'!$AR$20,'chloramphenical test raw data'!$AR$25,'chloramphenical test raw data'!$AR$30,'chloramphenical test raw data'!$AR$35,'chloramphenical test raw data'!$AR$40,'chloramphenical test raw data'!$AR$45,'chloramphenical test raw data'!$AR$50)</c:f>
              <c:numCache>
                <c:formatCode>General</c:formatCode>
                <c:ptCount val="10"/>
                <c:pt idx="0">
                  <c:v>1.9</c:v>
                </c:pt>
                <c:pt idx="1">
                  <c:v>1.8359999999999999</c:v>
                </c:pt>
                <c:pt idx="2">
                  <c:v>1.7769999999999999</c:v>
                </c:pt>
                <c:pt idx="3">
                  <c:v>1.1499999999999999</c:v>
                </c:pt>
                <c:pt idx="4">
                  <c:v>2.4E-2</c:v>
                </c:pt>
                <c:pt idx="5">
                  <c:v>1.9E-2</c:v>
                </c:pt>
                <c:pt idx="6">
                  <c:v>6.0000000000000001E-3</c:v>
                </c:pt>
                <c:pt idx="7">
                  <c:v>0.66400000000000003</c:v>
                </c:pt>
                <c:pt idx="8">
                  <c:v>0.38200000000000001</c:v>
                </c:pt>
                <c:pt idx="9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B-49A8-A78E-5A5C113F1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034624"/>
        <c:axId val="1298033184"/>
      </c:barChart>
      <c:catAx>
        <c:axId val="129803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33184"/>
        <c:crosses val="autoZero"/>
        <c:auto val="1"/>
        <c:lblAlgn val="ctr"/>
        <c:lblOffset val="100"/>
        <c:noMultiLvlLbl val="0"/>
      </c:catAx>
      <c:valAx>
        <c:axId val="12980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3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23812</xdr:colOff>
      <xdr:row>1</xdr:row>
      <xdr:rowOff>23812</xdr:rowOff>
    </xdr:from>
    <xdr:to>
      <xdr:col>26</xdr:col>
      <xdr:colOff>328612</xdr:colOff>
      <xdr:row>16</xdr:row>
      <xdr:rowOff>52387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86E2831-03A9-D7F2-2D9A-82307A31A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609099</xdr:colOff>
      <xdr:row>1</xdr:row>
      <xdr:rowOff>24562</xdr:rowOff>
    </xdr:from>
    <xdr:to>
      <xdr:col>56</xdr:col>
      <xdr:colOff>411079</xdr:colOff>
      <xdr:row>24</xdr:row>
      <xdr:rowOff>130342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890EA8B-C2ED-C479-E28B-8FD96F4B1927}"/>
            </a:ext>
            <a:ext uri="{147F2762-F138-4A5C-976F-8EAC2B608ADB}">
              <a16:predDERef xmlns:a16="http://schemas.microsoft.com/office/drawing/2014/main" pred="{B86E2831-03A9-D7F2-2D9A-82307A31A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9315-0BBB-4F22-B7A0-8578F96404B5}">
  <dimension ref="B2:D25"/>
  <sheetViews>
    <sheetView workbookViewId="0">
      <selection activeCell="G9" sqref="G9"/>
    </sheetView>
  </sheetViews>
  <sheetFormatPr defaultRowHeight="15"/>
  <sheetData>
    <row r="2" spans="2:4">
      <c r="B2" s="8" t="s">
        <v>0</v>
      </c>
      <c r="C2" s="8"/>
      <c r="D2" s="8"/>
    </row>
    <row r="3" spans="2:4">
      <c r="B3" s="5" t="s">
        <v>1</v>
      </c>
      <c r="C3" s="5" t="s">
        <v>2</v>
      </c>
      <c r="D3" s="5" t="s">
        <v>3</v>
      </c>
    </row>
    <row r="4" spans="2:4">
      <c r="B4" s="6">
        <v>0</v>
      </c>
      <c r="C4" s="6">
        <v>8.7999999999999995E-2</v>
      </c>
      <c r="D4" s="6">
        <v>2.5612496949731438E-2</v>
      </c>
    </row>
    <row r="5" spans="2:4">
      <c r="B5" s="6">
        <v>13</v>
      </c>
      <c r="C5" s="6">
        <v>2</v>
      </c>
      <c r="D5" s="6">
        <v>0</v>
      </c>
    </row>
    <row r="7" spans="2:4">
      <c r="B7" s="8" t="s">
        <v>4</v>
      </c>
      <c r="C7" s="8"/>
      <c r="D7" s="8"/>
    </row>
    <row r="8" spans="2:4">
      <c r="B8" s="5" t="s">
        <v>1</v>
      </c>
      <c r="C8" s="5" t="s">
        <v>2</v>
      </c>
      <c r="D8" s="5" t="s">
        <v>3</v>
      </c>
    </row>
    <row r="9" spans="2:4">
      <c r="B9" s="6">
        <v>0</v>
      </c>
      <c r="C9" s="6">
        <v>5.5000000000000007E-2</v>
      </c>
      <c r="D9" s="6">
        <v>1.4999999999999987E-2</v>
      </c>
    </row>
    <row r="10" spans="2:4">
      <c r="B10" s="6">
        <v>13</v>
      </c>
      <c r="C10" s="6">
        <v>1.9600000000000002</v>
      </c>
      <c r="D10" s="6">
        <v>2.1908902300206666E-2</v>
      </c>
    </row>
    <row r="12" spans="2:4">
      <c r="B12" s="8" t="s">
        <v>5</v>
      </c>
      <c r="C12" s="8"/>
      <c r="D12" s="8"/>
    </row>
    <row r="13" spans="2:4">
      <c r="B13" s="5" t="s">
        <v>1</v>
      </c>
      <c r="C13" s="5" t="s">
        <v>2</v>
      </c>
      <c r="D13" s="5" t="s">
        <v>3</v>
      </c>
    </row>
    <row r="14" spans="2:4">
      <c r="B14" s="6">
        <v>0</v>
      </c>
      <c r="C14" s="6">
        <v>7.1999999999999995E-2</v>
      </c>
      <c r="D14" s="6">
        <v>1.661324772583617E-2</v>
      </c>
    </row>
    <row r="15" spans="2:4">
      <c r="B15" s="6">
        <v>13</v>
      </c>
      <c r="C15" s="6">
        <v>1.9299999999999997</v>
      </c>
      <c r="D15" s="6">
        <v>1.7888543819998333E-2</v>
      </c>
    </row>
    <row r="17" spans="2:4">
      <c r="B17" s="8" t="s">
        <v>6</v>
      </c>
      <c r="C17" s="8"/>
      <c r="D17" s="8"/>
    </row>
    <row r="18" spans="2:4">
      <c r="B18" s="5" t="s">
        <v>1</v>
      </c>
      <c r="C18" s="5" t="s">
        <v>2</v>
      </c>
      <c r="D18" s="5" t="s">
        <v>3</v>
      </c>
    </row>
    <row r="19" spans="2:4">
      <c r="B19" s="6">
        <v>0</v>
      </c>
      <c r="C19" s="6">
        <v>7.9000000000000001E-2</v>
      </c>
      <c r="D19" s="6">
        <v>2.8089143810376294E-2</v>
      </c>
    </row>
    <row r="20" spans="2:4">
      <c r="B20" s="6">
        <v>13</v>
      </c>
      <c r="C20" s="6">
        <v>1.5840000000000001</v>
      </c>
      <c r="D20" s="6">
        <v>1.959591794226544E-2</v>
      </c>
    </row>
    <row r="22" spans="2:4">
      <c r="B22" s="8" t="s">
        <v>7</v>
      </c>
      <c r="C22" s="8"/>
      <c r="D22" s="8"/>
    </row>
    <row r="23" spans="2:4">
      <c r="B23" s="5" t="s">
        <v>1</v>
      </c>
      <c r="C23" s="5" t="s">
        <v>2</v>
      </c>
      <c r="D23" s="5" t="s">
        <v>3</v>
      </c>
    </row>
    <row r="24" spans="2:4">
      <c r="B24" s="6">
        <v>0</v>
      </c>
      <c r="C24" s="6">
        <v>7.9999999999999988E-2</v>
      </c>
      <c r="D24" s="6">
        <v>2.0000000000000039E-2</v>
      </c>
    </row>
    <row r="25" spans="2:4">
      <c r="B25" s="6">
        <v>13</v>
      </c>
      <c r="C25" s="6">
        <v>5.2000000000000005E-2</v>
      </c>
      <c r="D25" s="6">
        <v>9.7979589711327114E-3</v>
      </c>
    </row>
  </sheetData>
  <mergeCells count="5">
    <mergeCell ref="B2:D2"/>
    <mergeCell ref="B7:D7"/>
    <mergeCell ref="B12:D12"/>
    <mergeCell ref="B17:D17"/>
    <mergeCell ref="B22:D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9FDC-E2E7-42D9-ADC6-5773E719C738}">
  <dimension ref="B2:K13"/>
  <sheetViews>
    <sheetView workbookViewId="0">
      <selection activeCell="J20" sqref="J20"/>
    </sheetView>
  </sheetViews>
  <sheetFormatPr defaultRowHeight="15"/>
  <cols>
    <col min="2" max="2" width="14" customWidth="1"/>
    <col min="3" max="3" width="14.7109375" customWidth="1"/>
    <col min="4" max="4" width="15.28515625" customWidth="1"/>
    <col min="5" max="5" width="14.140625" customWidth="1"/>
    <col min="6" max="6" width="14.7109375" customWidth="1"/>
    <col min="7" max="7" width="14.5703125" customWidth="1"/>
    <col min="8" max="8" width="15" customWidth="1"/>
    <col min="9" max="9" width="12.5703125" customWidth="1"/>
    <col min="10" max="10" width="13.140625" customWidth="1"/>
    <col min="11" max="11" width="10.85546875" customWidth="1"/>
  </cols>
  <sheetData>
    <row r="2" spans="2:11">
      <c r="B2" s="4">
        <v>1.9</v>
      </c>
      <c r="C2" s="4">
        <v>1.82</v>
      </c>
      <c r="D2" s="4">
        <v>1.77</v>
      </c>
      <c r="E2" s="4">
        <v>1.1599999999999999</v>
      </c>
      <c r="F2" s="4">
        <v>0</v>
      </c>
      <c r="G2" s="4">
        <v>0.01</v>
      </c>
      <c r="H2" s="4">
        <v>0.02</v>
      </c>
      <c r="I2" s="4">
        <v>0.72</v>
      </c>
      <c r="J2" s="4">
        <v>0.41</v>
      </c>
      <c r="K2" s="4">
        <v>0.01</v>
      </c>
    </row>
    <row r="3" spans="2:11">
      <c r="B3" s="4">
        <v>1.9</v>
      </c>
      <c r="C3" s="4">
        <v>1.85</v>
      </c>
      <c r="D3" s="4">
        <v>1.8</v>
      </c>
      <c r="E3" s="4">
        <v>1.2</v>
      </c>
      <c r="F3" s="4">
        <v>0</v>
      </c>
      <c r="G3" s="4">
        <v>0</v>
      </c>
      <c r="H3" s="4">
        <v>0.02</v>
      </c>
      <c r="I3" s="4">
        <v>0.69</v>
      </c>
      <c r="J3" s="4">
        <v>0.4</v>
      </c>
      <c r="K3" s="4">
        <v>0.04</v>
      </c>
    </row>
    <row r="4" spans="2:11">
      <c r="B4" s="4">
        <v>1.91</v>
      </c>
      <c r="C4" s="4">
        <v>1.83</v>
      </c>
      <c r="D4" s="4">
        <v>1.78</v>
      </c>
      <c r="E4" s="4">
        <v>1.1399999999999999</v>
      </c>
      <c r="F4" s="4">
        <v>0.01</v>
      </c>
      <c r="G4" s="4">
        <v>0.05</v>
      </c>
      <c r="H4" s="4">
        <v>0</v>
      </c>
      <c r="I4" s="4">
        <v>0.65</v>
      </c>
      <c r="J4" s="4">
        <v>0.38</v>
      </c>
      <c r="K4" s="4">
        <v>0</v>
      </c>
    </row>
    <row r="5" spans="2:11">
      <c r="B5" s="4">
        <v>1.91</v>
      </c>
      <c r="C5" s="4">
        <v>1.84</v>
      </c>
      <c r="D5" s="4">
        <v>1.75</v>
      </c>
      <c r="E5" s="4">
        <v>1.1100000000000001</v>
      </c>
      <c r="F5" s="4">
        <v>0.02</v>
      </c>
      <c r="G5" s="4">
        <v>0</v>
      </c>
      <c r="H5" s="4">
        <v>0</v>
      </c>
      <c r="I5" s="4">
        <v>0.65</v>
      </c>
      <c r="J5" s="4">
        <v>0.36</v>
      </c>
      <c r="K5" s="4">
        <v>0.01</v>
      </c>
    </row>
    <row r="6" spans="2:11">
      <c r="B6" s="4">
        <v>1.9</v>
      </c>
      <c r="C6" s="4">
        <v>1.84</v>
      </c>
      <c r="D6" s="4">
        <v>1.76</v>
      </c>
      <c r="E6" s="4">
        <v>1.17</v>
      </c>
      <c r="F6" s="4">
        <v>0.03</v>
      </c>
      <c r="G6" s="4">
        <v>0</v>
      </c>
      <c r="H6" s="4">
        <v>0</v>
      </c>
      <c r="I6" s="4">
        <v>0.66</v>
      </c>
      <c r="J6" s="4">
        <v>0.38</v>
      </c>
      <c r="K6" s="4">
        <v>0</v>
      </c>
    </row>
    <row r="7" spans="2:11">
      <c r="B7" s="4">
        <v>1.89</v>
      </c>
      <c r="C7" s="4">
        <v>1.84</v>
      </c>
      <c r="D7" s="4">
        <v>1.81</v>
      </c>
      <c r="E7" s="4">
        <v>1.1299999999999999</v>
      </c>
      <c r="F7" s="4">
        <v>0.03</v>
      </c>
      <c r="G7" s="4">
        <v>0</v>
      </c>
      <c r="H7" s="4">
        <v>0</v>
      </c>
      <c r="I7" s="4">
        <v>0.69</v>
      </c>
      <c r="J7" s="4">
        <v>0.36</v>
      </c>
      <c r="K7" s="4">
        <v>0</v>
      </c>
    </row>
    <row r="8" spans="2:11">
      <c r="B8" s="4">
        <v>1.9</v>
      </c>
      <c r="C8" s="4">
        <v>1.84</v>
      </c>
      <c r="D8" s="4">
        <v>1.77</v>
      </c>
      <c r="E8" s="4">
        <v>1.1499999999999999</v>
      </c>
      <c r="F8" s="4">
        <v>0.03</v>
      </c>
      <c r="G8" s="4">
        <v>0.05</v>
      </c>
      <c r="H8" s="4">
        <v>0</v>
      </c>
      <c r="I8" s="4">
        <v>0.64</v>
      </c>
      <c r="J8" s="4">
        <v>0.39</v>
      </c>
      <c r="K8" s="4">
        <v>0.06</v>
      </c>
    </row>
    <row r="9" spans="2:11">
      <c r="B9" s="4">
        <v>1.9</v>
      </c>
      <c r="C9" s="4">
        <v>1.83</v>
      </c>
      <c r="D9" s="4">
        <v>1.78</v>
      </c>
      <c r="E9" s="4">
        <v>1.1499999999999999</v>
      </c>
      <c r="F9" s="4">
        <v>0.03</v>
      </c>
      <c r="G9" s="4">
        <v>0.01</v>
      </c>
      <c r="H9" s="4">
        <v>0.01</v>
      </c>
      <c r="I9" s="4">
        <v>0.67</v>
      </c>
      <c r="J9" s="4">
        <v>0.41</v>
      </c>
      <c r="K9" s="4">
        <v>0</v>
      </c>
    </row>
    <row r="10" spans="2:11">
      <c r="B10" s="4">
        <v>1.9</v>
      </c>
      <c r="C10" s="4">
        <v>1.84</v>
      </c>
      <c r="D10" s="4">
        <v>1.78</v>
      </c>
      <c r="E10" s="4">
        <v>1.17</v>
      </c>
      <c r="F10" s="4">
        <v>0.05</v>
      </c>
      <c r="G10" s="4">
        <v>0.01</v>
      </c>
      <c r="H10" s="4">
        <v>0.01</v>
      </c>
      <c r="I10" s="4">
        <v>0.62</v>
      </c>
      <c r="J10" s="4">
        <v>0.37</v>
      </c>
      <c r="K10" s="4">
        <v>0.06</v>
      </c>
    </row>
    <row r="11" spans="2:11">
      <c r="B11" s="4">
        <v>1.89</v>
      </c>
      <c r="C11" s="4">
        <v>1.83</v>
      </c>
      <c r="D11" s="4">
        <v>1.77</v>
      </c>
      <c r="E11" s="4">
        <v>1.1200000000000001</v>
      </c>
      <c r="F11" s="4">
        <v>0.04</v>
      </c>
      <c r="G11" s="4">
        <v>0.06</v>
      </c>
      <c r="H11" s="4">
        <v>0</v>
      </c>
      <c r="I11" s="4">
        <v>0.65</v>
      </c>
      <c r="J11" s="4">
        <v>0.36</v>
      </c>
      <c r="K11" s="4">
        <v>0</v>
      </c>
    </row>
    <row r="12" spans="2:11"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</row>
    <row r="13" spans="2:11">
      <c r="B13" s="9"/>
      <c r="C13" s="9"/>
      <c r="D13" s="9"/>
      <c r="E13" s="9"/>
      <c r="F13" s="9"/>
      <c r="G13" s="9"/>
      <c r="H13" s="9"/>
      <c r="I13" s="9"/>
      <c r="J13" s="9"/>
      <c r="K13" s="9"/>
    </row>
  </sheetData>
  <mergeCells count="10">
    <mergeCell ref="E12:E13"/>
    <mergeCell ref="D12:D13"/>
    <mergeCell ref="C12:C13"/>
    <mergeCell ref="B12:B13"/>
    <mergeCell ref="K12:K13"/>
    <mergeCell ref="J12:J13"/>
    <mergeCell ref="I12:I13"/>
    <mergeCell ref="H12:H13"/>
    <mergeCell ref="G12:G13"/>
    <mergeCell ref="F12:F13"/>
  </mergeCells>
  <phoneticPr fontId="1" type="noConversion"/>
  <conditionalFormatting sqref="B2:K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70"/>
  <sheetViews>
    <sheetView topLeftCell="AB49" zoomScale="74" workbookViewId="0">
      <selection activeCell="AK66" sqref="AK66:AO66"/>
    </sheetView>
  </sheetViews>
  <sheetFormatPr defaultRowHeight="13.9"/>
  <cols>
    <col min="1" max="1" width="9.140625" style="3"/>
    <col min="2" max="2" width="18.28515625" style="3" bestFit="1" customWidth="1"/>
    <col min="3" max="8" width="9.140625" style="3"/>
    <col min="9" max="9" width="18.28515625" style="3" bestFit="1" customWidth="1"/>
    <col min="10" max="15" width="9.140625" style="3"/>
    <col min="16" max="16" width="7.7109375" style="3" bestFit="1" customWidth="1"/>
    <col min="17" max="17" width="7" style="3" bestFit="1" customWidth="1"/>
    <col min="18" max="18" width="7.140625" style="3" bestFit="1" customWidth="1"/>
    <col min="19" max="19" width="9.140625" style="3"/>
    <col min="20" max="20" width="9.140625" style="3" customWidth="1"/>
    <col min="21" max="28" width="9.140625" style="3"/>
    <col min="29" max="29" width="24.140625" style="3" bestFit="1" customWidth="1"/>
    <col min="30" max="35" width="9.140625" style="3"/>
    <col min="36" max="36" width="24.140625" style="3" bestFit="1" customWidth="1"/>
    <col min="37" max="58" width="9.140625" style="3"/>
    <col min="59" max="59" width="26.5703125" style="3" bestFit="1" customWidth="1"/>
    <col min="60" max="16384" width="9.140625" style="3"/>
  </cols>
  <sheetData>
    <row r="1" spans="2:45" ht="15">
      <c r="B1" s="3" t="s">
        <v>18</v>
      </c>
      <c r="AC1" s="7" t="s">
        <v>19</v>
      </c>
    </row>
    <row r="2" spans="2:45" ht="15" customHeight="1">
      <c r="B2" s="1" t="s">
        <v>8</v>
      </c>
      <c r="C2" s="10" t="s">
        <v>20</v>
      </c>
      <c r="D2" s="10"/>
      <c r="E2" s="2" t="s">
        <v>21</v>
      </c>
      <c r="F2" s="10" t="s">
        <v>22</v>
      </c>
      <c r="G2" s="10"/>
      <c r="I2" s="1" t="s">
        <v>8</v>
      </c>
      <c r="J2" s="10" t="s">
        <v>20</v>
      </c>
      <c r="K2" s="10"/>
      <c r="L2" s="2" t="s">
        <v>21</v>
      </c>
      <c r="M2" s="10" t="s">
        <v>22</v>
      </c>
      <c r="N2" s="10"/>
      <c r="P2" s="10" t="s">
        <v>8</v>
      </c>
      <c r="Q2" s="10"/>
      <c r="R2" s="10"/>
      <c r="AC2" s="1" t="s">
        <v>8</v>
      </c>
      <c r="AD2" s="10" t="s">
        <v>20</v>
      </c>
      <c r="AE2" s="10"/>
      <c r="AF2" s="2" t="s">
        <v>21</v>
      </c>
      <c r="AG2" s="10" t="s">
        <v>23</v>
      </c>
      <c r="AH2" s="10"/>
      <c r="AJ2" s="1" t="s">
        <v>8</v>
      </c>
      <c r="AK2" s="10" t="s">
        <v>20</v>
      </c>
      <c r="AL2" s="10"/>
      <c r="AM2" s="2" t="s">
        <v>21</v>
      </c>
      <c r="AN2" s="10" t="s">
        <v>23</v>
      </c>
      <c r="AO2" s="10"/>
      <c r="AQ2" s="10" t="s">
        <v>8</v>
      </c>
      <c r="AR2" s="10"/>
      <c r="AS2" s="10"/>
    </row>
    <row r="3" spans="2:45" ht="13.9" customHeight="1">
      <c r="B3" s="12" t="s">
        <v>24</v>
      </c>
      <c r="C3" s="4">
        <v>0.1</v>
      </c>
      <c r="D3" s="4">
        <v>0.08</v>
      </c>
      <c r="E3" s="4">
        <v>0.13</v>
      </c>
      <c r="F3" s="4">
        <v>7.0000000000000007E-2</v>
      </c>
      <c r="G3" s="4">
        <v>0.14000000000000001</v>
      </c>
      <c r="I3" s="12" t="s">
        <v>24</v>
      </c>
      <c r="J3" s="4">
        <v>2</v>
      </c>
      <c r="K3" s="4">
        <v>2</v>
      </c>
      <c r="L3" s="4">
        <v>2</v>
      </c>
      <c r="M3" s="4">
        <v>2</v>
      </c>
      <c r="N3" s="4">
        <v>2</v>
      </c>
      <c r="P3" s="1" t="s">
        <v>25</v>
      </c>
      <c r="Q3" s="1" t="s">
        <v>26</v>
      </c>
      <c r="R3" s="1" t="s">
        <v>27</v>
      </c>
      <c r="AC3" s="12" t="s">
        <v>24</v>
      </c>
      <c r="AD3" s="4">
        <v>0.02</v>
      </c>
      <c r="AE3" s="4">
        <v>0</v>
      </c>
      <c r="AF3" s="4">
        <v>0</v>
      </c>
      <c r="AG3" s="4"/>
      <c r="AH3" s="4"/>
      <c r="AJ3" s="12" t="s">
        <v>24</v>
      </c>
      <c r="AK3" s="4">
        <v>1.9</v>
      </c>
      <c r="AL3" s="4">
        <v>1.91</v>
      </c>
      <c r="AM3" s="4">
        <v>1.9</v>
      </c>
      <c r="AN3" s="4">
        <v>1.89</v>
      </c>
      <c r="AO3" s="4">
        <v>1.9</v>
      </c>
      <c r="AQ3" s="1" t="s">
        <v>25</v>
      </c>
      <c r="AR3" s="1" t="s">
        <v>26</v>
      </c>
      <c r="AS3" s="1" t="s">
        <v>27</v>
      </c>
    </row>
    <row r="4" spans="2:45" ht="13.9" customHeight="1">
      <c r="B4" s="12"/>
      <c r="C4" s="4">
        <v>7.0000000000000007E-2</v>
      </c>
      <c r="D4" s="4">
        <v>0.06</v>
      </c>
      <c r="E4" s="4">
        <v>0.08</v>
      </c>
      <c r="F4" s="4">
        <v>7.0000000000000007E-2</v>
      </c>
      <c r="G4" s="4">
        <v>0.08</v>
      </c>
      <c r="I4" s="12"/>
      <c r="J4" s="4">
        <v>2</v>
      </c>
      <c r="K4" s="4">
        <v>2</v>
      </c>
      <c r="L4" s="4">
        <v>2</v>
      </c>
      <c r="M4" s="4">
        <v>2</v>
      </c>
      <c r="N4" s="4">
        <v>2</v>
      </c>
      <c r="P4" s="3">
        <v>0</v>
      </c>
      <c r="Q4" s="3">
        <f>C5</f>
        <v>8.7999999999999995E-2</v>
      </c>
      <c r="R4" s="3">
        <f>C6</f>
        <v>2.5612496949731438E-2</v>
      </c>
      <c r="AC4" s="12"/>
      <c r="AD4" s="4">
        <v>0.02</v>
      </c>
      <c r="AE4" s="4">
        <v>0</v>
      </c>
      <c r="AF4" s="4"/>
      <c r="AG4" s="4"/>
      <c r="AH4" s="4"/>
      <c r="AJ4" s="12"/>
      <c r="AK4" s="4">
        <v>1.9</v>
      </c>
      <c r="AL4" s="4">
        <v>1.91</v>
      </c>
      <c r="AM4" s="3">
        <v>1.9</v>
      </c>
      <c r="AN4" s="4">
        <v>1.9</v>
      </c>
      <c r="AO4" s="4">
        <v>1.89</v>
      </c>
      <c r="AQ4" s="3">
        <v>0</v>
      </c>
      <c r="AR4" s="3">
        <f>AD5</f>
        <v>8.0000000000000002E-3</v>
      </c>
      <c r="AS4" s="3">
        <f>AD6</f>
        <v>9.7979589711327131E-3</v>
      </c>
    </row>
    <row r="5" spans="2:45" ht="13.9" customHeight="1">
      <c r="B5" s="1" t="s">
        <v>28</v>
      </c>
      <c r="C5" s="11">
        <f>AVERAGE(C3:G4)</f>
        <v>8.7999999999999995E-2</v>
      </c>
      <c r="D5" s="11"/>
      <c r="E5" s="11"/>
      <c r="F5" s="11"/>
      <c r="G5" s="11"/>
      <c r="I5" s="1" t="s">
        <v>28</v>
      </c>
      <c r="J5" s="11">
        <f>AVERAGE(J3:N4)</f>
        <v>2</v>
      </c>
      <c r="K5" s="11"/>
      <c r="L5" s="11"/>
      <c r="M5" s="11"/>
      <c r="N5" s="11"/>
      <c r="P5" s="3">
        <v>13</v>
      </c>
      <c r="Q5" s="3">
        <f>J5</f>
        <v>2</v>
      </c>
      <c r="R5" s="3">
        <f>J6</f>
        <v>0</v>
      </c>
      <c r="AC5" s="1" t="s">
        <v>28</v>
      </c>
      <c r="AD5" s="11">
        <f>AVERAGE(AD3:AH4)</f>
        <v>8.0000000000000002E-3</v>
      </c>
      <c r="AE5" s="11"/>
      <c r="AF5" s="11"/>
      <c r="AG5" s="11"/>
      <c r="AH5" s="11"/>
      <c r="AJ5" s="1" t="s">
        <v>28</v>
      </c>
      <c r="AK5" s="11">
        <f>AVERAGE(AK3:AO4)</f>
        <v>1.9</v>
      </c>
      <c r="AL5" s="11"/>
      <c r="AM5" s="11"/>
      <c r="AN5" s="11"/>
      <c r="AO5" s="11"/>
      <c r="AQ5" s="3">
        <v>12</v>
      </c>
      <c r="AR5" s="3">
        <f>AK5</f>
        <v>1.9</v>
      </c>
      <c r="AS5" s="3">
        <f>AK6</f>
        <v>6.324555320336764E-3</v>
      </c>
    </row>
    <row r="6" spans="2:45" ht="15">
      <c r="B6" s="1" t="s">
        <v>27</v>
      </c>
      <c r="C6" s="11">
        <f>_xlfn.STDEV.P(C3:G4)</f>
        <v>2.5612496949731438E-2</v>
      </c>
      <c r="D6" s="11"/>
      <c r="E6" s="11"/>
      <c r="F6" s="11"/>
      <c r="G6" s="11"/>
      <c r="I6" s="1" t="s">
        <v>27</v>
      </c>
      <c r="J6" s="11">
        <f>_xlfn.STDEV.P(J3:N4)</f>
        <v>0</v>
      </c>
      <c r="K6" s="11"/>
      <c r="L6" s="11"/>
      <c r="M6" s="11"/>
      <c r="N6" s="11"/>
      <c r="AC6" s="1" t="s">
        <v>27</v>
      </c>
      <c r="AD6" s="11">
        <f>_xlfn.STDEV.P(AD3:AH4)</f>
        <v>9.7979589711327131E-3</v>
      </c>
      <c r="AE6" s="11"/>
      <c r="AF6" s="11"/>
      <c r="AG6" s="11"/>
      <c r="AH6" s="11"/>
      <c r="AJ6" s="1" t="s">
        <v>27</v>
      </c>
      <c r="AK6" s="11">
        <f>_xlfn.STDEV.P(AK3:AO4)</f>
        <v>6.324555320336764E-3</v>
      </c>
      <c r="AL6" s="11"/>
      <c r="AM6" s="11"/>
      <c r="AN6" s="11"/>
      <c r="AO6" s="11"/>
    </row>
    <row r="7" spans="2:45" ht="15.75">
      <c r="B7" s="1" t="s">
        <v>29</v>
      </c>
      <c r="C7" s="11">
        <v>0</v>
      </c>
      <c r="D7" s="11"/>
      <c r="E7" s="11"/>
      <c r="F7" s="11"/>
      <c r="G7" s="11"/>
      <c r="I7" s="1" t="s">
        <v>29</v>
      </c>
      <c r="J7" s="11">
        <v>13</v>
      </c>
      <c r="K7" s="11"/>
      <c r="L7" s="11"/>
      <c r="M7" s="11"/>
      <c r="N7" s="11"/>
      <c r="P7" s="10" t="s">
        <v>4</v>
      </c>
      <c r="Q7" s="10"/>
      <c r="R7" s="10"/>
      <c r="AC7" s="1" t="s">
        <v>29</v>
      </c>
      <c r="AD7" s="11">
        <v>0</v>
      </c>
      <c r="AE7" s="11"/>
      <c r="AF7" s="11"/>
      <c r="AG7" s="11"/>
      <c r="AH7" s="11"/>
      <c r="AJ7" s="1" t="s">
        <v>29</v>
      </c>
      <c r="AK7" s="11">
        <v>12</v>
      </c>
      <c r="AL7" s="11"/>
      <c r="AM7" s="11"/>
      <c r="AN7" s="11"/>
      <c r="AO7" s="11"/>
      <c r="AQ7" s="10" t="s">
        <v>9</v>
      </c>
      <c r="AR7" s="10"/>
      <c r="AS7" s="10"/>
    </row>
    <row r="8" spans="2:45" ht="15">
      <c r="P8" s="1" t="s">
        <v>25</v>
      </c>
      <c r="Q8" s="1" t="s">
        <v>26</v>
      </c>
      <c r="R8" s="1" t="s">
        <v>27</v>
      </c>
      <c r="AQ8" s="1" t="s">
        <v>25</v>
      </c>
      <c r="AR8" s="1" t="s">
        <v>26</v>
      </c>
      <c r="AS8" s="1" t="s">
        <v>27</v>
      </c>
    </row>
    <row r="9" spans="2:45" ht="15" customHeight="1">
      <c r="B9" s="1" t="s">
        <v>30</v>
      </c>
      <c r="C9" s="10" t="s">
        <v>20</v>
      </c>
      <c r="D9" s="10"/>
      <c r="E9" s="2" t="s">
        <v>21</v>
      </c>
      <c r="F9" s="10" t="s">
        <v>22</v>
      </c>
      <c r="G9" s="10"/>
      <c r="I9" s="1" t="s">
        <v>30</v>
      </c>
      <c r="J9" s="10" t="s">
        <v>20</v>
      </c>
      <c r="K9" s="10"/>
      <c r="L9" s="2" t="s">
        <v>21</v>
      </c>
      <c r="M9" s="10" t="s">
        <v>22</v>
      </c>
      <c r="N9" s="10"/>
      <c r="P9" s="3">
        <v>0</v>
      </c>
      <c r="Q9" s="3">
        <f>C12</f>
        <v>5.5000000000000007E-2</v>
      </c>
      <c r="R9" s="3">
        <f>C13</f>
        <v>1.4999999999999987E-2</v>
      </c>
      <c r="AC9" s="1" t="s">
        <v>9</v>
      </c>
      <c r="AD9" s="10" t="s">
        <v>20</v>
      </c>
      <c r="AE9" s="10"/>
      <c r="AF9" s="2" t="s">
        <v>21</v>
      </c>
      <c r="AG9" s="10" t="s">
        <v>23</v>
      </c>
      <c r="AH9" s="10"/>
      <c r="AJ9" s="1" t="s">
        <v>9</v>
      </c>
      <c r="AK9" s="10" t="s">
        <v>20</v>
      </c>
      <c r="AL9" s="10"/>
      <c r="AM9" s="2" t="s">
        <v>21</v>
      </c>
      <c r="AN9" s="10" t="s">
        <v>23</v>
      </c>
      <c r="AO9" s="10"/>
      <c r="AQ9" s="3">
        <v>0</v>
      </c>
      <c r="AR9" s="3">
        <f>AD12</f>
        <v>0.01</v>
      </c>
      <c r="AS9" s="3">
        <f>AD13</f>
        <v>1.2649110640673516E-2</v>
      </c>
    </row>
    <row r="10" spans="2:45" ht="13.9" customHeight="1">
      <c r="B10" s="12" t="s">
        <v>24</v>
      </c>
      <c r="C10" s="4">
        <v>0.06</v>
      </c>
      <c r="D10" s="4">
        <v>0.06</v>
      </c>
      <c r="E10" s="4">
        <v>0.04</v>
      </c>
      <c r="F10" s="4">
        <v>0.05</v>
      </c>
      <c r="G10" s="4">
        <v>0.05</v>
      </c>
      <c r="I10" s="12" t="s">
        <v>24</v>
      </c>
      <c r="J10" s="4">
        <v>1.92</v>
      </c>
      <c r="K10" s="4">
        <v>1.96</v>
      </c>
      <c r="L10" s="4">
        <v>1.96</v>
      </c>
      <c r="M10" s="4"/>
      <c r="N10" s="4"/>
      <c r="P10" s="3">
        <v>13</v>
      </c>
      <c r="Q10" s="3">
        <f>J12</f>
        <v>1.9600000000000002</v>
      </c>
      <c r="R10" s="3">
        <f>J13</f>
        <v>2.1908902300206666E-2</v>
      </c>
      <c r="AC10" s="12" t="s">
        <v>24</v>
      </c>
      <c r="AD10" s="4">
        <v>0.02</v>
      </c>
      <c r="AE10" s="4">
        <v>0</v>
      </c>
      <c r="AF10" s="4">
        <v>0</v>
      </c>
      <c r="AG10" s="4"/>
      <c r="AH10" s="4"/>
      <c r="AJ10" s="12" t="s">
        <v>24</v>
      </c>
      <c r="AK10" s="4">
        <v>1.82</v>
      </c>
      <c r="AL10" s="4">
        <v>1.85</v>
      </c>
      <c r="AM10" s="4">
        <v>1.83</v>
      </c>
      <c r="AN10" s="4">
        <v>1.84</v>
      </c>
      <c r="AO10" s="4">
        <v>1.84</v>
      </c>
      <c r="AQ10" s="3">
        <v>12</v>
      </c>
      <c r="AR10" s="3">
        <f>AK12</f>
        <v>1.8359999999999999</v>
      </c>
      <c r="AS10" s="3">
        <f>AK13</f>
        <v>8.0000000000000071E-3</v>
      </c>
    </row>
    <row r="11" spans="2:45" ht="13.9" customHeight="1">
      <c r="B11" s="12"/>
      <c r="C11" s="4">
        <v>0.04</v>
      </c>
      <c r="D11" s="4">
        <v>7.0000000000000007E-2</v>
      </c>
      <c r="E11" s="4">
        <v>0.04</v>
      </c>
      <c r="F11" s="4">
        <v>0.09</v>
      </c>
      <c r="G11" s="4">
        <v>0.05</v>
      </c>
      <c r="I11" s="12"/>
      <c r="J11" s="4"/>
      <c r="K11" s="4">
        <v>1.98</v>
      </c>
      <c r="L11" s="4">
        <v>1.98</v>
      </c>
      <c r="M11" s="4"/>
      <c r="N11" s="4"/>
      <c r="AC11" s="12"/>
      <c r="AD11" s="4">
        <v>0.03</v>
      </c>
      <c r="AE11" s="4">
        <v>0</v>
      </c>
      <c r="AF11" s="4"/>
      <c r="AG11" s="4"/>
      <c r="AH11" s="4"/>
      <c r="AJ11" s="12"/>
      <c r="AK11" s="4">
        <v>1.84</v>
      </c>
      <c r="AL11" s="4">
        <v>1.84</v>
      </c>
      <c r="AM11" s="4">
        <v>1.83</v>
      </c>
      <c r="AN11" s="4">
        <v>1.84</v>
      </c>
      <c r="AO11" s="4">
        <v>1.83</v>
      </c>
    </row>
    <row r="12" spans="2:45">
      <c r="B12" s="1" t="s">
        <v>28</v>
      </c>
      <c r="C12" s="11">
        <f>AVERAGE(C10:G11)</f>
        <v>5.5000000000000007E-2</v>
      </c>
      <c r="D12" s="11"/>
      <c r="E12" s="11"/>
      <c r="F12" s="11"/>
      <c r="G12" s="11"/>
      <c r="I12" s="1" t="s">
        <v>28</v>
      </c>
      <c r="J12" s="11">
        <f>AVERAGE(J10:N11)</f>
        <v>1.9600000000000002</v>
      </c>
      <c r="K12" s="11"/>
      <c r="L12" s="11"/>
      <c r="M12" s="11"/>
      <c r="N12" s="11"/>
      <c r="P12" s="10" t="s">
        <v>5</v>
      </c>
      <c r="Q12" s="10"/>
      <c r="R12" s="10"/>
      <c r="AC12" s="1" t="s">
        <v>28</v>
      </c>
      <c r="AD12" s="11">
        <f>AVERAGE(AD10:AH11)</f>
        <v>0.01</v>
      </c>
      <c r="AE12" s="11"/>
      <c r="AF12" s="11"/>
      <c r="AG12" s="11"/>
      <c r="AH12" s="11"/>
      <c r="AJ12" s="1" t="s">
        <v>28</v>
      </c>
      <c r="AK12" s="11">
        <f>AVERAGE(AK10:AO11)</f>
        <v>1.8359999999999999</v>
      </c>
      <c r="AL12" s="11"/>
      <c r="AM12" s="11"/>
      <c r="AN12" s="11"/>
      <c r="AO12" s="11"/>
      <c r="AQ12" s="10" t="s">
        <v>10</v>
      </c>
      <c r="AR12" s="10"/>
      <c r="AS12" s="10"/>
    </row>
    <row r="13" spans="2:45">
      <c r="B13" s="1" t="s">
        <v>27</v>
      </c>
      <c r="C13" s="11">
        <f>_xlfn.STDEV.P(C10:G11)</f>
        <v>1.4999999999999987E-2</v>
      </c>
      <c r="D13" s="11"/>
      <c r="E13" s="11"/>
      <c r="F13" s="11"/>
      <c r="G13" s="11"/>
      <c r="I13" s="1" t="s">
        <v>27</v>
      </c>
      <c r="J13" s="11">
        <f>_xlfn.STDEV.P(J10:N11)</f>
        <v>2.1908902300206666E-2</v>
      </c>
      <c r="K13" s="11"/>
      <c r="L13" s="11"/>
      <c r="M13" s="11"/>
      <c r="N13" s="11"/>
      <c r="P13" s="1" t="s">
        <v>25</v>
      </c>
      <c r="Q13" s="1" t="s">
        <v>26</v>
      </c>
      <c r="R13" s="1" t="s">
        <v>27</v>
      </c>
      <c r="AC13" s="1" t="s">
        <v>27</v>
      </c>
      <c r="AD13" s="11">
        <f>_xlfn.STDEV.P(AD10:AH11)</f>
        <v>1.2649110640673516E-2</v>
      </c>
      <c r="AE13" s="11"/>
      <c r="AF13" s="11"/>
      <c r="AG13" s="11"/>
      <c r="AH13" s="11"/>
      <c r="AJ13" s="1" t="s">
        <v>27</v>
      </c>
      <c r="AK13" s="11">
        <f>_xlfn.STDEV.P(AK10:AO11)</f>
        <v>8.0000000000000071E-3</v>
      </c>
      <c r="AL13" s="11"/>
      <c r="AM13" s="11"/>
      <c r="AN13" s="11"/>
      <c r="AO13" s="11"/>
      <c r="AQ13" s="1" t="s">
        <v>25</v>
      </c>
      <c r="AR13" s="1" t="s">
        <v>26</v>
      </c>
      <c r="AS13" s="1" t="s">
        <v>27</v>
      </c>
    </row>
    <row r="14" spans="2:45" ht="15">
      <c r="B14" s="1" t="s">
        <v>29</v>
      </c>
      <c r="C14" s="11">
        <v>0</v>
      </c>
      <c r="D14" s="11"/>
      <c r="E14" s="11"/>
      <c r="F14" s="11"/>
      <c r="G14" s="11"/>
      <c r="I14" s="1" t="s">
        <v>29</v>
      </c>
      <c r="J14" s="11">
        <v>13</v>
      </c>
      <c r="K14" s="11"/>
      <c r="L14" s="11"/>
      <c r="M14" s="11"/>
      <c r="N14" s="11"/>
      <c r="P14" s="3">
        <v>0</v>
      </c>
      <c r="Q14" s="3">
        <f>C19</f>
        <v>7.1999999999999995E-2</v>
      </c>
      <c r="R14" s="3">
        <f>C20</f>
        <v>1.661324772583617E-2</v>
      </c>
      <c r="AC14" s="1" t="s">
        <v>29</v>
      </c>
      <c r="AD14" s="11">
        <v>0</v>
      </c>
      <c r="AE14" s="11"/>
      <c r="AF14" s="11"/>
      <c r="AG14" s="11"/>
      <c r="AH14" s="11"/>
      <c r="AJ14" s="1" t="s">
        <v>29</v>
      </c>
      <c r="AK14" s="11">
        <v>12</v>
      </c>
      <c r="AL14" s="11"/>
      <c r="AM14" s="11"/>
      <c r="AN14" s="11"/>
      <c r="AO14" s="11"/>
      <c r="AQ14" s="3">
        <v>0</v>
      </c>
      <c r="AR14" s="3">
        <f>AD19</f>
        <v>6.0000000000000001E-3</v>
      </c>
      <c r="AS14" s="3">
        <f>AD20</f>
        <v>8.0000000000000002E-3</v>
      </c>
    </row>
    <row r="15" spans="2:45">
      <c r="P15" s="3">
        <v>13</v>
      </c>
      <c r="Q15" s="3">
        <f>J19</f>
        <v>1.9299999999999997</v>
      </c>
      <c r="R15" s="3">
        <f>J20</f>
        <v>1.7888543819998333E-2</v>
      </c>
      <c r="AQ15" s="3">
        <v>12</v>
      </c>
      <c r="AR15" s="3">
        <f>AK19</f>
        <v>1.7769999999999999</v>
      </c>
      <c r="AS15" s="3">
        <f>AK20</f>
        <v>1.6763054614240228E-2</v>
      </c>
    </row>
    <row r="16" spans="2:45" ht="15">
      <c r="B16" s="1" t="s">
        <v>31</v>
      </c>
      <c r="C16" s="10" t="s">
        <v>20</v>
      </c>
      <c r="D16" s="10"/>
      <c r="E16" s="2" t="s">
        <v>21</v>
      </c>
      <c r="F16" s="10" t="s">
        <v>22</v>
      </c>
      <c r="G16" s="10"/>
      <c r="I16" s="1" t="s">
        <v>31</v>
      </c>
      <c r="J16" s="10" t="s">
        <v>20</v>
      </c>
      <c r="K16" s="10"/>
      <c r="L16" s="2" t="s">
        <v>21</v>
      </c>
      <c r="M16" s="10" t="s">
        <v>22</v>
      </c>
      <c r="N16" s="10"/>
      <c r="AC16" s="1" t="s">
        <v>10</v>
      </c>
      <c r="AD16" s="10" t="s">
        <v>20</v>
      </c>
      <c r="AE16" s="10"/>
      <c r="AF16" s="2" t="s">
        <v>21</v>
      </c>
      <c r="AG16" s="10" t="s">
        <v>23</v>
      </c>
      <c r="AH16" s="10"/>
      <c r="AJ16" s="1" t="s">
        <v>10</v>
      </c>
      <c r="AK16" s="10" t="s">
        <v>20</v>
      </c>
      <c r="AL16" s="10"/>
      <c r="AM16" s="2" t="s">
        <v>21</v>
      </c>
      <c r="AN16" s="10" t="s">
        <v>23</v>
      </c>
      <c r="AO16" s="10"/>
    </row>
    <row r="17" spans="2:45">
      <c r="B17" s="12" t="s">
        <v>24</v>
      </c>
      <c r="C17" s="4">
        <v>0.05</v>
      </c>
      <c r="D17" s="4">
        <v>7.0000000000000007E-2</v>
      </c>
      <c r="E17" s="4">
        <v>0.06</v>
      </c>
      <c r="F17" s="4">
        <v>7.0000000000000007E-2</v>
      </c>
      <c r="G17" s="4">
        <v>7.0000000000000007E-2</v>
      </c>
      <c r="I17" s="12" t="s">
        <v>24</v>
      </c>
      <c r="J17" s="4">
        <v>1.9</v>
      </c>
      <c r="K17" s="4">
        <v>1.95</v>
      </c>
      <c r="L17" s="4">
        <v>1.94</v>
      </c>
      <c r="M17" s="4"/>
      <c r="N17" s="4"/>
      <c r="P17" s="10" t="s">
        <v>6</v>
      </c>
      <c r="Q17" s="10"/>
      <c r="R17" s="10"/>
      <c r="AC17" s="12" t="s">
        <v>24</v>
      </c>
      <c r="AD17" s="4">
        <v>0.01</v>
      </c>
      <c r="AE17" s="4">
        <v>0</v>
      </c>
      <c r="AF17" s="4">
        <v>0</v>
      </c>
      <c r="AG17" s="4"/>
      <c r="AH17" s="4"/>
      <c r="AJ17" s="12" t="s">
        <v>24</v>
      </c>
      <c r="AK17" s="4">
        <v>1.77</v>
      </c>
      <c r="AL17" s="4">
        <v>1.8</v>
      </c>
      <c r="AM17" s="4">
        <v>1.78</v>
      </c>
      <c r="AN17" s="4">
        <v>1.75</v>
      </c>
      <c r="AO17" s="4">
        <v>1.76</v>
      </c>
      <c r="AQ17" s="10" t="s">
        <v>11</v>
      </c>
      <c r="AR17" s="10"/>
      <c r="AS17" s="10"/>
    </row>
    <row r="18" spans="2:45">
      <c r="B18" s="12"/>
      <c r="C18" s="4">
        <v>0.1</v>
      </c>
      <c r="D18" s="4">
        <v>0.05</v>
      </c>
      <c r="E18" s="4">
        <v>7.0000000000000007E-2</v>
      </c>
      <c r="F18" s="4">
        <v>0.08</v>
      </c>
      <c r="G18" s="4">
        <v>0.1</v>
      </c>
      <c r="I18" s="12"/>
      <c r="J18" s="4">
        <v>1.94</v>
      </c>
      <c r="K18" s="4">
        <v>1.92</v>
      </c>
      <c r="L18" s="4"/>
      <c r="M18" s="4"/>
      <c r="N18" s="4"/>
      <c r="P18" s="1" t="s">
        <v>25</v>
      </c>
      <c r="Q18" s="1" t="s">
        <v>26</v>
      </c>
      <c r="R18" s="1" t="s">
        <v>27</v>
      </c>
      <c r="AC18" s="12"/>
      <c r="AD18" s="4">
        <v>0.02</v>
      </c>
      <c r="AE18" s="4">
        <v>0</v>
      </c>
      <c r="AF18" s="4"/>
      <c r="AG18" s="4"/>
      <c r="AH18" s="4"/>
      <c r="AJ18" s="12"/>
      <c r="AK18" s="4">
        <v>1.81</v>
      </c>
      <c r="AL18" s="4">
        <v>1.77</v>
      </c>
      <c r="AM18" s="4">
        <v>1.78</v>
      </c>
      <c r="AN18" s="4">
        <v>1.78</v>
      </c>
      <c r="AO18" s="4">
        <v>1.77</v>
      </c>
      <c r="AQ18" s="1" t="s">
        <v>25</v>
      </c>
      <c r="AR18" s="1" t="s">
        <v>26</v>
      </c>
      <c r="AS18" s="1" t="s">
        <v>27</v>
      </c>
    </row>
    <row r="19" spans="2:45">
      <c r="B19" s="1" t="s">
        <v>28</v>
      </c>
      <c r="C19" s="11">
        <f>AVERAGE(C17:G18)</f>
        <v>7.1999999999999995E-2</v>
      </c>
      <c r="D19" s="11"/>
      <c r="E19" s="11"/>
      <c r="F19" s="11"/>
      <c r="G19" s="11"/>
      <c r="I19" s="1" t="s">
        <v>28</v>
      </c>
      <c r="J19" s="11">
        <f>AVERAGE(J17:N18)</f>
        <v>1.9299999999999997</v>
      </c>
      <c r="K19" s="11"/>
      <c r="L19" s="11"/>
      <c r="M19" s="11"/>
      <c r="N19" s="11"/>
      <c r="P19" s="3">
        <v>0</v>
      </c>
      <c r="Q19" s="3">
        <f>C26</f>
        <v>7.9000000000000001E-2</v>
      </c>
      <c r="R19" s="3">
        <f>C27</f>
        <v>2.8089143810376294E-2</v>
      </c>
      <c r="AC19" s="1" t="s">
        <v>28</v>
      </c>
      <c r="AD19" s="11">
        <f>AVERAGE(AD17:AH18)</f>
        <v>6.0000000000000001E-3</v>
      </c>
      <c r="AE19" s="11"/>
      <c r="AF19" s="11"/>
      <c r="AG19" s="11"/>
      <c r="AH19" s="11"/>
      <c r="AJ19" s="1" t="s">
        <v>28</v>
      </c>
      <c r="AK19" s="11">
        <f>AVERAGE(AK17:AO18)</f>
        <v>1.7769999999999999</v>
      </c>
      <c r="AL19" s="11"/>
      <c r="AM19" s="11"/>
      <c r="AN19" s="11"/>
      <c r="AO19" s="11"/>
      <c r="AQ19" s="3">
        <v>0</v>
      </c>
      <c r="AR19" s="3">
        <f>AD26</f>
        <v>1.7999999999999999E-2</v>
      </c>
      <c r="AS19" s="3">
        <f>AD27</f>
        <v>1.4696938456699067E-2</v>
      </c>
    </row>
    <row r="20" spans="2:45">
      <c r="B20" s="1" t="s">
        <v>27</v>
      </c>
      <c r="C20" s="11">
        <f>_xlfn.STDEV.P(C17:G18)</f>
        <v>1.661324772583617E-2</v>
      </c>
      <c r="D20" s="11"/>
      <c r="E20" s="11"/>
      <c r="F20" s="11"/>
      <c r="G20" s="11"/>
      <c r="I20" s="1" t="s">
        <v>27</v>
      </c>
      <c r="J20" s="11">
        <f>_xlfn.STDEV.P(J17:N18)</f>
        <v>1.7888543819998333E-2</v>
      </c>
      <c r="K20" s="11"/>
      <c r="L20" s="11"/>
      <c r="M20" s="11"/>
      <c r="N20" s="11"/>
      <c r="P20" s="3">
        <v>13</v>
      </c>
      <c r="Q20" s="3">
        <f>J26</f>
        <v>1.5840000000000001</v>
      </c>
      <c r="R20" s="3">
        <f>J27</f>
        <v>1.959591794226544E-2</v>
      </c>
      <c r="AC20" s="1" t="s">
        <v>27</v>
      </c>
      <c r="AD20" s="11">
        <f>_xlfn.STDEV.P(AD17:AH18)</f>
        <v>8.0000000000000002E-3</v>
      </c>
      <c r="AE20" s="11"/>
      <c r="AF20" s="11"/>
      <c r="AG20" s="11"/>
      <c r="AH20" s="11"/>
      <c r="AJ20" s="1" t="s">
        <v>27</v>
      </c>
      <c r="AK20" s="11">
        <f>_xlfn.STDEV.P(AK17:AO18)</f>
        <v>1.6763054614240228E-2</v>
      </c>
      <c r="AL20" s="11"/>
      <c r="AM20" s="11"/>
      <c r="AN20" s="11"/>
      <c r="AO20" s="11"/>
      <c r="AQ20" s="3">
        <v>12</v>
      </c>
      <c r="AR20" s="3">
        <f>AK26</f>
        <v>1.1499999999999999</v>
      </c>
      <c r="AS20" s="3">
        <f>AK27</f>
        <v>2.5298221281346997E-2</v>
      </c>
    </row>
    <row r="21" spans="2:45" ht="15">
      <c r="B21" s="1" t="s">
        <v>29</v>
      </c>
      <c r="C21" s="11">
        <v>0</v>
      </c>
      <c r="D21" s="11"/>
      <c r="E21" s="11"/>
      <c r="F21" s="11"/>
      <c r="G21" s="11"/>
      <c r="I21" s="1" t="s">
        <v>29</v>
      </c>
      <c r="J21" s="11">
        <v>13</v>
      </c>
      <c r="K21" s="11"/>
      <c r="L21" s="11"/>
      <c r="M21" s="11"/>
      <c r="N21" s="11"/>
      <c r="AC21" s="1" t="s">
        <v>29</v>
      </c>
      <c r="AD21" s="11">
        <v>0</v>
      </c>
      <c r="AE21" s="11"/>
      <c r="AF21" s="11"/>
      <c r="AG21" s="11"/>
      <c r="AH21" s="11"/>
      <c r="AJ21" s="1" t="s">
        <v>29</v>
      </c>
      <c r="AK21" s="11">
        <v>12</v>
      </c>
      <c r="AL21" s="11"/>
      <c r="AM21" s="11"/>
      <c r="AN21" s="11"/>
      <c r="AO21" s="11"/>
    </row>
    <row r="22" spans="2:45">
      <c r="P22" s="10" t="s">
        <v>17</v>
      </c>
      <c r="Q22" s="10"/>
      <c r="R22" s="10"/>
      <c r="AQ22" s="10" t="s">
        <v>12</v>
      </c>
      <c r="AR22" s="10"/>
      <c r="AS22" s="10"/>
    </row>
    <row r="23" spans="2:45" ht="15">
      <c r="B23" s="1" t="s">
        <v>32</v>
      </c>
      <c r="C23" s="10" t="s">
        <v>20</v>
      </c>
      <c r="D23" s="10"/>
      <c r="E23" s="2" t="s">
        <v>21</v>
      </c>
      <c r="F23" s="10" t="s">
        <v>22</v>
      </c>
      <c r="G23" s="10"/>
      <c r="I23" s="1" t="s">
        <v>32</v>
      </c>
      <c r="J23" s="10" t="s">
        <v>20</v>
      </c>
      <c r="K23" s="10"/>
      <c r="L23" s="2" t="s">
        <v>21</v>
      </c>
      <c r="M23" s="10" t="s">
        <v>22</v>
      </c>
      <c r="N23" s="10"/>
      <c r="P23" s="1" t="s">
        <v>25</v>
      </c>
      <c r="Q23" s="1" t="s">
        <v>26</v>
      </c>
      <c r="R23" s="1" t="s">
        <v>27</v>
      </c>
      <c r="AC23" s="1" t="s">
        <v>11</v>
      </c>
      <c r="AD23" s="10" t="s">
        <v>20</v>
      </c>
      <c r="AE23" s="10"/>
      <c r="AF23" s="2" t="s">
        <v>21</v>
      </c>
      <c r="AG23" s="10" t="s">
        <v>23</v>
      </c>
      <c r="AH23" s="10"/>
      <c r="AJ23" s="1" t="s">
        <v>11</v>
      </c>
      <c r="AK23" s="10" t="s">
        <v>20</v>
      </c>
      <c r="AL23" s="10"/>
      <c r="AM23" s="2" t="s">
        <v>21</v>
      </c>
      <c r="AN23" s="10" t="s">
        <v>23</v>
      </c>
      <c r="AO23" s="10"/>
      <c r="AQ23" s="1" t="s">
        <v>25</v>
      </c>
      <c r="AR23" s="1" t="s">
        <v>26</v>
      </c>
      <c r="AS23" s="1" t="s">
        <v>27</v>
      </c>
    </row>
    <row r="24" spans="2:45">
      <c r="B24" s="12" t="s">
        <v>24</v>
      </c>
      <c r="C24" s="4">
        <v>0.08</v>
      </c>
      <c r="D24" s="4">
        <v>0.06</v>
      </c>
      <c r="E24" s="4">
        <v>0.13</v>
      </c>
      <c r="F24" s="4">
        <v>0.05</v>
      </c>
      <c r="G24" s="4">
        <v>0.13</v>
      </c>
      <c r="I24" s="12" t="s">
        <v>24</v>
      </c>
      <c r="J24" s="4">
        <v>1.59</v>
      </c>
      <c r="K24" s="4">
        <v>1.61</v>
      </c>
      <c r="L24" s="4">
        <v>1.59</v>
      </c>
      <c r="M24" s="4"/>
      <c r="N24" s="4"/>
      <c r="P24" s="3">
        <v>0</v>
      </c>
      <c r="Q24" s="3">
        <f>C33</f>
        <v>7.9999999999999988E-2</v>
      </c>
      <c r="R24" s="3">
        <f>C34</f>
        <v>2.0000000000000039E-2</v>
      </c>
      <c r="AC24" s="12" t="s">
        <v>24</v>
      </c>
      <c r="AD24" s="4">
        <v>0.01</v>
      </c>
      <c r="AE24" s="4">
        <v>0.04</v>
      </c>
      <c r="AF24" s="4">
        <v>0</v>
      </c>
      <c r="AG24" s="4"/>
      <c r="AH24" s="4"/>
      <c r="AJ24" s="12" t="s">
        <v>24</v>
      </c>
      <c r="AK24" s="4">
        <v>1.1599999999999999</v>
      </c>
      <c r="AL24" s="4">
        <v>1.2</v>
      </c>
      <c r="AM24" s="4">
        <v>1.1399999999999999</v>
      </c>
      <c r="AN24" s="4">
        <v>1.1100000000000001</v>
      </c>
      <c r="AO24" s="4">
        <v>1.17</v>
      </c>
      <c r="AQ24" s="3">
        <v>0</v>
      </c>
      <c r="AR24" s="3">
        <f>AD33</f>
        <v>3.2000000000000001E-2</v>
      </c>
      <c r="AS24" s="3">
        <f>AD34</f>
        <v>7.4833147735478694E-3</v>
      </c>
    </row>
    <row r="25" spans="2:45">
      <c r="B25" s="12"/>
      <c r="C25" s="4">
        <v>0.05</v>
      </c>
      <c r="D25" s="4">
        <v>7.0000000000000007E-2</v>
      </c>
      <c r="E25" s="4">
        <v>7.0000000000000007E-2</v>
      </c>
      <c r="F25" s="4">
        <v>0.09</v>
      </c>
      <c r="G25" s="4">
        <v>0.06</v>
      </c>
      <c r="I25" s="12"/>
      <c r="J25" s="4">
        <v>1.58</v>
      </c>
      <c r="K25" s="4">
        <v>1.55</v>
      </c>
      <c r="L25" s="4"/>
      <c r="M25" s="4"/>
      <c r="N25" s="4"/>
      <c r="P25" s="3">
        <v>13</v>
      </c>
      <c r="Q25" s="3">
        <f>J33</f>
        <v>5.2000000000000005E-2</v>
      </c>
      <c r="R25" s="3">
        <f>J34</f>
        <v>9.7979589711327114E-3</v>
      </c>
      <c r="AC25" s="12"/>
      <c r="AD25" s="4">
        <v>0.03</v>
      </c>
      <c r="AE25" s="4">
        <v>0.01</v>
      </c>
      <c r="AF25" s="4"/>
      <c r="AG25" s="4"/>
      <c r="AH25" s="4"/>
      <c r="AJ25" s="12"/>
      <c r="AK25" s="4">
        <v>1.1299999999999999</v>
      </c>
      <c r="AL25" s="4">
        <v>1.1499999999999999</v>
      </c>
      <c r="AM25" s="4">
        <v>1.1499999999999999</v>
      </c>
      <c r="AN25" s="4">
        <v>1.17</v>
      </c>
      <c r="AO25" s="4">
        <v>1.1200000000000001</v>
      </c>
      <c r="AQ25" s="3">
        <v>12</v>
      </c>
      <c r="AR25" s="3">
        <f>AK33</f>
        <v>2.4E-2</v>
      </c>
      <c r="AS25" s="3">
        <f>AK34</f>
        <v>1.5620499351813305E-2</v>
      </c>
    </row>
    <row r="26" spans="2:45">
      <c r="B26" s="1" t="s">
        <v>28</v>
      </c>
      <c r="C26" s="11">
        <f>AVERAGE(C24:G25)</f>
        <v>7.9000000000000001E-2</v>
      </c>
      <c r="D26" s="11"/>
      <c r="E26" s="11"/>
      <c r="F26" s="11"/>
      <c r="G26" s="11"/>
      <c r="I26" s="1" t="s">
        <v>28</v>
      </c>
      <c r="J26" s="11">
        <f>AVERAGE(J24:N25)</f>
        <v>1.5840000000000001</v>
      </c>
      <c r="K26" s="11"/>
      <c r="L26" s="11"/>
      <c r="M26" s="11"/>
      <c r="N26" s="11"/>
      <c r="AC26" s="1" t="s">
        <v>28</v>
      </c>
      <c r="AD26" s="11">
        <f>AVERAGE(AD24:AH25)</f>
        <v>1.7999999999999999E-2</v>
      </c>
      <c r="AE26" s="11"/>
      <c r="AF26" s="11"/>
      <c r="AG26" s="11"/>
      <c r="AH26" s="11"/>
      <c r="AJ26" s="1" t="s">
        <v>28</v>
      </c>
      <c r="AK26" s="11">
        <f>AVERAGE(AK24:AO25)</f>
        <v>1.1499999999999999</v>
      </c>
      <c r="AL26" s="11"/>
      <c r="AM26" s="11"/>
      <c r="AN26" s="11"/>
      <c r="AO26" s="11"/>
    </row>
    <row r="27" spans="2:45">
      <c r="B27" s="1" t="s">
        <v>27</v>
      </c>
      <c r="C27" s="11">
        <f>_xlfn.STDEV.P(C24:G25)</f>
        <v>2.8089143810376294E-2</v>
      </c>
      <c r="D27" s="11"/>
      <c r="E27" s="11"/>
      <c r="F27" s="11"/>
      <c r="G27" s="11"/>
      <c r="I27" s="1" t="s">
        <v>27</v>
      </c>
      <c r="J27" s="11">
        <f>_xlfn.STDEV.P(J24:N25)</f>
        <v>1.959591794226544E-2</v>
      </c>
      <c r="K27" s="11"/>
      <c r="L27" s="11"/>
      <c r="M27" s="11"/>
      <c r="N27" s="11"/>
      <c r="AC27" s="1" t="s">
        <v>27</v>
      </c>
      <c r="AD27" s="11">
        <f>_xlfn.STDEV.P(AD24:AH25)</f>
        <v>1.4696938456699067E-2</v>
      </c>
      <c r="AE27" s="11"/>
      <c r="AF27" s="11"/>
      <c r="AG27" s="11"/>
      <c r="AH27" s="11"/>
      <c r="AJ27" s="1" t="s">
        <v>27</v>
      </c>
      <c r="AK27" s="11">
        <f>_xlfn.STDEV.P(AK24:AO25)</f>
        <v>2.5298221281346997E-2</v>
      </c>
      <c r="AL27" s="11"/>
      <c r="AM27" s="11"/>
      <c r="AN27" s="11"/>
      <c r="AO27" s="11"/>
      <c r="AQ27" s="10" t="s">
        <v>13</v>
      </c>
      <c r="AR27" s="10"/>
      <c r="AS27" s="10"/>
    </row>
    <row r="28" spans="2:45" ht="15">
      <c r="B28" s="1" t="s">
        <v>29</v>
      </c>
      <c r="C28" s="11">
        <v>0</v>
      </c>
      <c r="D28" s="11"/>
      <c r="E28" s="11"/>
      <c r="F28" s="11"/>
      <c r="G28" s="11"/>
      <c r="I28" s="1" t="s">
        <v>29</v>
      </c>
      <c r="J28" s="11">
        <v>13</v>
      </c>
      <c r="K28" s="11"/>
      <c r="L28" s="11"/>
      <c r="M28" s="11"/>
      <c r="N28" s="11"/>
      <c r="AC28" s="1" t="s">
        <v>29</v>
      </c>
      <c r="AD28" s="11">
        <v>0</v>
      </c>
      <c r="AE28" s="11"/>
      <c r="AF28" s="11"/>
      <c r="AG28" s="11"/>
      <c r="AH28" s="11"/>
      <c r="AJ28" s="1" t="s">
        <v>29</v>
      </c>
      <c r="AK28" s="11">
        <v>12</v>
      </c>
      <c r="AL28" s="11"/>
      <c r="AM28" s="11"/>
      <c r="AN28" s="11"/>
      <c r="AO28" s="11"/>
      <c r="AQ28" s="1" t="s">
        <v>25</v>
      </c>
      <c r="AR28" s="1" t="s">
        <v>26</v>
      </c>
      <c r="AS28" s="1" t="s">
        <v>27</v>
      </c>
    </row>
    <row r="29" spans="2:45">
      <c r="AQ29" s="3">
        <v>0</v>
      </c>
      <c r="AR29" s="3">
        <f>AD40</f>
        <v>8.0000000000000002E-3</v>
      </c>
      <c r="AS29" s="3">
        <f>AD41</f>
        <v>7.4833147735478825E-3</v>
      </c>
    </row>
    <row r="30" spans="2:45" ht="15">
      <c r="B30" s="1" t="s">
        <v>17</v>
      </c>
      <c r="C30" s="10" t="s">
        <v>20</v>
      </c>
      <c r="D30" s="10"/>
      <c r="E30" s="2" t="s">
        <v>21</v>
      </c>
      <c r="F30" s="10" t="s">
        <v>22</v>
      </c>
      <c r="G30" s="10"/>
      <c r="I30" s="1" t="s">
        <v>17</v>
      </c>
      <c r="J30" s="10" t="s">
        <v>20</v>
      </c>
      <c r="K30" s="10"/>
      <c r="L30" s="2" t="s">
        <v>21</v>
      </c>
      <c r="M30" s="10" t="s">
        <v>22</v>
      </c>
      <c r="N30" s="10"/>
      <c r="AC30" s="1" t="s">
        <v>12</v>
      </c>
      <c r="AD30" s="10" t="s">
        <v>20</v>
      </c>
      <c r="AE30" s="10"/>
      <c r="AF30" s="2" t="s">
        <v>21</v>
      </c>
      <c r="AG30" s="10" t="s">
        <v>23</v>
      </c>
      <c r="AH30" s="10"/>
      <c r="AJ30" s="1" t="s">
        <v>12</v>
      </c>
      <c r="AK30" s="10" t="s">
        <v>20</v>
      </c>
      <c r="AL30" s="10"/>
      <c r="AM30" s="2" t="s">
        <v>21</v>
      </c>
      <c r="AN30" s="10" t="s">
        <v>23</v>
      </c>
      <c r="AO30" s="10"/>
      <c r="AQ30" s="3">
        <v>12</v>
      </c>
      <c r="AR30" s="3">
        <f>AK40</f>
        <v>1.9E-2</v>
      </c>
      <c r="AS30" s="3">
        <f>AK41</f>
        <v>2.3000000000000007E-2</v>
      </c>
    </row>
    <row r="31" spans="2:45">
      <c r="B31" s="12" t="s">
        <v>24</v>
      </c>
      <c r="C31" s="4">
        <v>0.06</v>
      </c>
      <c r="D31" s="4">
        <v>7.0000000000000007E-2</v>
      </c>
      <c r="E31" s="4">
        <v>0.06</v>
      </c>
      <c r="F31" s="4">
        <v>0.08</v>
      </c>
      <c r="G31" s="4">
        <v>0.08</v>
      </c>
      <c r="I31" s="12" t="s">
        <v>24</v>
      </c>
      <c r="J31" s="4">
        <v>0.04</v>
      </c>
      <c r="K31" s="4">
        <v>0.05</v>
      </c>
      <c r="L31" s="4">
        <v>7.0000000000000007E-2</v>
      </c>
      <c r="M31" s="4"/>
      <c r="N31" s="4"/>
      <c r="AC31" s="12" t="s">
        <v>24</v>
      </c>
      <c r="AD31" s="4">
        <v>0.02</v>
      </c>
      <c r="AE31" s="4">
        <v>0.03</v>
      </c>
      <c r="AF31" s="4">
        <v>0.04</v>
      </c>
      <c r="AG31" s="4"/>
      <c r="AH31" s="4"/>
      <c r="AJ31" s="12" t="s">
        <v>24</v>
      </c>
      <c r="AK31" s="4">
        <v>0</v>
      </c>
      <c r="AL31" s="4">
        <v>0</v>
      </c>
      <c r="AM31" s="4">
        <v>0.01</v>
      </c>
      <c r="AN31" s="4">
        <v>0.02</v>
      </c>
      <c r="AO31" s="4">
        <v>0.03</v>
      </c>
    </row>
    <row r="32" spans="2:45">
      <c r="B32" s="12"/>
      <c r="C32" s="4">
        <v>0.09</v>
      </c>
      <c r="D32" s="4">
        <v>0.06</v>
      </c>
      <c r="E32" s="4">
        <v>0.11</v>
      </c>
      <c r="F32" s="4">
        <v>7.0000000000000007E-2</v>
      </c>
      <c r="G32" s="4">
        <v>0.12</v>
      </c>
      <c r="I32" s="12"/>
      <c r="J32" s="4">
        <v>0.05</v>
      </c>
      <c r="K32" s="4">
        <v>0.05</v>
      </c>
      <c r="L32" s="4"/>
      <c r="M32" s="4"/>
      <c r="N32" s="4"/>
      <c r="AC32" s="12"/>
      <c r="AD32" s="4">
        <v>0.03</v>
      </c>
      <c r="AE32" s="4">
        <v>0.04</v>
      </c>
      <c r="AF32" s="4"/>
      <c r="AG32" s="4"/>
      <c r="AH32" s="4"/>
      <c r="AJ32" s="12"/>
      <c r="AK32" s="4">
        <v>0.03</v>
      </c>
      <c r="AL32" s="4">
        <v>0.03</v>
      </c>
      <c r="AM32" s="4">
        <v>0.03</v>
      </c>
      <c r="AN32" s="4">
        <v>0.05</v>
      </c>
      <c r="AO32" s="4">
        <v>0.04</v>
      </c>
      <c r="AQ32" s="10" t="s">
        <v>14</v>
      </c>
      <c r="AR32" s="10"/>
      <c r="AS32" s="10"/>
    </row>
    <row r="33" spans="2:45">
      <c r="B33" s="1" t="s">
        <v>28</v>
      </c>
      <c r="C33" s="11">
        <f>AVERAGE(C31:G32)</f>
        <v>7.9999999999999988E-2</v>
      </c>
      <c r="D33" s="11"/>
      <c r="E33" s="11"/>
      <c r="F33" s="11"/>
      <c r="G33" s="11"/>
      <c r="I33" s="1" t="s">
        <v>28</v>
      </c>
      <c r="J33" s="11">
        <f>AVERAGE(J31:N32)</f>
        <v>5.2000000000000005E-2</v>
      </c>
      <c r="K33" s="11"/>
      <c r="L33" s="11"/>
      <c r="M33" s="11"/>
      <c r="N33" s="11"/>
      <c r="AC33" s="1" t="s">
        <v>28</v>
      </c>
      <c r="AD33" s="11">
        <f>AVERAGE(AD31:AH32)</f>
        <v>3.2000000000000001E-2</v>
      </c>
      <c r="AE33" s="11"/>
      <c r="AF33" s="11"/>
      <c r="AG33" s="11"/>
      <c r="AH33" s="11"/>
      <c r="AJ33" s="1" t="s">
        <v>28</v>
      </c>
      <c r="AK33" s="11">
        <f>AVERAGE(AK31:AO32)</f>
        <v>2.4E-2</v>
      </c>
      <c r="AL33" s="11"/>
      <c r="AM33" s="11"/>
      <c r="AN33" s="11"/>
      <c r="AO33" s="11"/>
      <c r="AQ33" s="1" t="s">
        <v>25</v>
      </c>
      <c r="AR33" s="1" t="s">
        <v>26</v>
      </c>
      <c r="AS33" s="1" t="s">
        <v>27</v>
      </c>
    </row>
    <row r="34" spans="2:45">
      <c r="B34" s="1" t="s">
        <v>27</v>
      </c>
      <c r="C34" s="11">
        <f>_xlfn.STDEV.P(C31:G32)</f>
        <v>2.0000000000000039E-2</v>
      </c>
      <c r="D34" s="11"/>
      <c r="E34" s="11"/>
      <c r="F34" s="11"/>
      <c r="G34" s="11"/>
      <c r="I34" s="1" t="s">
        <v>27</v>
      </c>
      <c r="J34" s="11">
        <f>_xlfn.STDEV.P(J31:N32)</f>
        <v>9.7979589711327114E-3</v>
      </c>
      <c r="K34" s="11"/>
      <c r="L34" s="11"/>
      <c r="M34" s="11"/>
      <c r="N34" s="11"/>
      <c r="AC34" s="1" t="s">
        <v>27</v>
      </c>
      <c r="AD34" s="11">
        <f>_xlfn.STDEV.P(AD31:AH32)</f>
        <v>7.4833147735478694E-3</v>
      </c>
      <c r="AE34" s="11"/>
      <c r="AF34" s="11"/>
      <c r="AG34" s="11"/>
      <c r="AH34" s="11"/>
      <c r="AJ34" s="1" t="s">
        <v>27</v>
      </c>
      <c r="AK34" s="11">
        <f>_xlfn.STDEV.P(AK31:AO32)</f>
        <v>1.5620499351813305E-2</v>
      </c>
      <c r="AL34" s="11"/>
      <c r="AM34" s="11"/>
      <c r="AN34" s="11"/>
      <c r="AO34" s="11"/>
      <c r="AQ34" s="3">
        <v>0</v>
      </c>
      <c r="AR34" s="3">
        <f>AD47</f>
        <v>0.02</v>
      </c>
      <c r="AS34" s="3">
        <f>AD48</f>
        <v>6.3245553203367562E-3</v>
      </c>
    </row>
    <row r="35" spans="2:45" ht="15">
      <c r="B35" s="1" t="s">
        <v>29</v>
      </c>
      <c r="C35" s="11">
        <v>0</v>
      </c>
      <c r="D35" s="11"/>
      <c r="E35" s="11"/>
      <c r="F35" s="11"/>
      <c r="G35" s="11"/>
      <c r="I35" s="1" t="s">
        <v>29</v>
      </c>
      <c r="J35" s="11">
        <v>13</v>
      </c>
      <c r="K35" s="11"/>
      <c r="L35" s="11"/>
      <c r="M35" s="11"/>
      <c r="N35" s="11"/>
      <c r="AC35" s="1" t="s">
        <v>29</v>
      </c>
      <c r="AD35" s="11">
        <v>0</v>
      </c>
      <c r="AE35" s="11"/>
      <c r="AF35" s="11"/>
      <c r="AG35" s="11"/>
      <c r="AH35" s="11"/>
      <c r="AJ35" s="1" t="s">
        <v>29</v>
      </c>
      <c r="AK35" s="11">
        <v>12</v>
      </c>
      <c r="AL35" s="11"/>
      <c r="AM35" s="11"/>
      <c r="AN35" s="11"/>
      <c r="AO35" s="11"/>
      <c r="AQ35" s="3">
        <v>12</v>
      </c>
      <c r="AR35" s="3">
        <f>AK47</f>
        <v>6.0000000000000001E-3</v>
      </c>
      <c r="AS35" s="3">
        <f>AK48</f>
        <v>8.0000000000000002E-3</v>
      </c>
    </row>
    <row r="37" spans="2:45" ht="15">
      <c r="AC37" s="1" t="s">
        <v>13</v>
      </c>
      <c r="AD37" s="10" t="s">
        <v>20</v>
      </c>
      <c r="AE37" s="10"/>
      <c r="AF37" s="2" t="s">
        <v>21</v>
      </c>
      <c r="AG37" s="10" t="s">
        <v>23</v>
      </c>
      <c r="AH37" s="10"/>
      <c r="AJ37" s="1" t="s">
        <v>13</v>
      </c>
      <c r="AK37" s="10" t="s">
        <v>20</v>
      </c>
      <c r="AL37" s="10"/>
      <c r="AM37" s="2" t="s">
        <v>21</v>
      </c>
      <c r="AN37" s="10" t="s">
        <v>23</v>
      </c>
      <c r="AO37" s="10"/>
      <c r="AQ37" s="10" t="s">
        <v>33</v>
      </c>
      <c r="AR37" s="10"/>
      <c r="AS37" s="10"/>
    </row>
    <row r="38" spans="2:45">
      <c r="AC38" s="12" t="s">
        <v>24</v>
      </c>
      <c r="AD38" s="4">
        <v>0.01</v>
      </c>
      <c r="AE38" s="4">
        <v>0.02</v>
      </c>
      <c r="AF38" s="4">
        <v>0</v>
      </c>
      <c r="AG38" s="4"/>
      <c r="AH38" s="4"/>
      <c r="AJ38" s="12" t="s">
        <v>24</v>
      </c>
      <c r="AK38" s="4">
        <v>0.01</v>
      </c>
      <c r="AL38" s="4">
        <v>0</v>
      </c>
      <c r="AM38" s="4">
        <v>0.05</v>
      </c>
      <c r="AN38" s="4">
        <v>0</v>
      </c>
      <c r="AO38" s="4">
        <v>0</v>
      </c>
      <c r="AQ38" s="1" t="s">
        <v>25</v>
      </c>
      <c r="AR38" s="1" t="s">
        <v>26</v>
      </c>
      <c r="AS38" s="1" t="s">
        <v>27</v>
      </c>
    </row>
    <row r="39" spans="2:45">
      <c r="AC39" s="12"/>
      <c r="AD39" s="4">
        <v>0.01</v>
      </c>
      <c r="AE39" s="4">
        <v>0</v>
      </c>
      <c r="AF39" s="4"/>
      <c r="AG39" s="4"/>
      <c r="AH39" s="4"/>
      <c r="AJ39" s="12"/>
      <c r="AK39" s="4">
        <v>0</v>
      </c>
      <c r="AL39" s="4">
        <v>0.05</v>
      </c>
      <c r="AM39" s="4">
        <v>0.01</v>
      </c>
      <c r="AN39" s="4">
        <v>0.01</v>
      </c>
      <c r="AO39" s="4">
        <v>0.06</v>
      </c>
      <c r="AQ39" s="3">
        <v>0</v>
      </c>
      <c r="AR39" s="3">
        <f>AD54</f>
        <v>6.0000000000000001E-3</v>
      </c>
      <c r="AS39" s="3">
        <f>AD55</f>
        <v>8.0000000000000002E-3</v>
      </c>
    </row>
    <row r="40" spans="2:45">
      <c r="AC40" s="1" t="s">
        <v>28</v>
      </c>
      <c r="AD40" s="11">
        <f>AVERAGE(AD38:AH39)</f>
        <v>8.0000000000000002E-3</v>
      </c>
      <c r="AE40" s="11"/>
      <c r="AF40" s="11"/>
      <c r="AG40" s="11"/>
      <c r="AH40" s="11"/>
      <c r="AJ40" s="1" t="s">
        <v>28</v>
      </c>
      <c r="AK40" s="11">
        <f>AVERAGE(AK38:AO39)</f>
        <v>1.9E-2</v>
      </c>
      <c r="AL40" s="11"/>
      <c r="AM40" s="11"/>
      <c r="AN40" s="11"/>
      <c r="AO40" s="11"/>
      <c r="AQ40" s="3">
        <v>12</v>
      </c>
      <c r="AR40" s="3">
        <f>AK54</f>
        <v>0.66400000000000003</v>
      </c>
      <c r="AS40" s="3">
        <f>AK55</f>
        <v>2.7640549922170486E-2</v>
      </c>
    </row>
    <row r="41" spans="2:45">
      <c r="AC41" s="1" t="s">
        <v>27</v>
      </c>
      <c r="AD41" s="11">
        <f>_xlfn.STDEV.P(AD38:AH39)</f>
        <v>7.4833147735478825E-3</v>
      </c>
      <c r="AE41" s="11"/>
      <c r="AF41" s="11"/>
      <c r="AG41" s="11"/>
      <c r="AH41" s="11"/>
      <c r="AJ41" s="1" t="s">
        <v>27</v>
      </c>
      <c r="AK41" s="11">
        <f>_xlfn.STDEV.P(AK38:AO39)</f>
        <v>2.3000000000000007E-2</v>
      </c>
      <c r="AL41" s="11"/>
      <c r="AM41" s="11"/>
      <c r="AN41" s="11"/>
      <c r="AO41" s="11"/>
    </row>
    <row r="42" spans="2:45" ht="15">
      <c r="AC42" s="1" t="s">
        <v>29</v>
      </c>
      <c r="AD42" s="11">
        <v>0</v>
      </c>
      <c r="AE42" s="11"/>
      <c r="AF42" s="11"/>
      <c r="AG42" s="11"/>
      <c r="AH42" s="11"/>
      <c r="AJ42" s="1" t="s">
        <v>29</v>
      </c>
      <c r="AK42" s="11">
        <v>12</v>
      </c>
      <c r="AL42" s="11"/>
      <c r="AM42" s="11"/>
      <c r="AN42" s="11"/>
      <c r="AO42" s="11"/>
      <c r="AQ42" s="10" t="s">
        <v>34</v>
      </c>
      <c r="AR42" s="10"/>
      <c r="AS42" s="10"/>
    </row>
    <row r="43" spans="2:45">
      <c r="AQ43" s="1" t="s">
        <v>25</v>
      </c>
      <c r="AR43" s="1" t="s">
        <v>26</v>
      </c>
      <c r="AS43" s="1" t="s">
        <v>27</v>
      </c>
    </row>
    <row r="44" spans="2:45" ht="15">
      <c r="AC44" s="1" t="s">
        <v>14</v>
      </c>
      <c r="AD44" s="10" t="s">
        <v>20</v>
      </c>
      <c r="AE44" s="10"/>
      <c r="AF44" s="2" t="s">
        <v>21</v>
      </c>
      <c r="AG44" s="10" t="s">
        <v>23</v>
      </c>
      <c r="AH44" s="10"/>
      <c r="AJ44" s="1" t="s">
        <v>14</v>
      </c>
      <c r="AK44" s="10" t="s">
        <v>20</v>
      </c>
      <c r="AL44" s="10"/>
      <c r="AM44" s="2" t="s">
        <v>21</v>
      </c>
      <c r="AN44" s="10" t="s">
        <v>23</v>
      </c>
      <c r="AO44" s="10"/>
      <c r="AQ44" s="3">
        <v>0</v>
      </c>
      <c r="AR44" s="3">
        <f>AD61</f>
        <v>0.01</v>
      </c>
      <c r="AS44" s="3">
        <f>AD62</f>
        <v>1.5491933384829668E-2</v>
      </c>
    </row>
    <row r="45" spans="2:45">
      <c r="AC45" s="12" t="s">
        <v>24</v>
      </c>
      <c r="AD45" s="4">
        <v>0.03</v>
      </c>
      <c r="AE45" s="4">
        <v>0.02</v>
      </c>
      <c r="AF45" s="4">
        <v>0.01</v>
      </c>
      <c r="AG45" s="4"/>
      <c r="AH45" s="4"/>
      <c r="AJ45" s="12" t="s">
        <v>24</v>
      </c>
      <c r="AK45" s="4">
        <v>0.02</v>
      </c>
      <c r="AL45" s="4">
        <v>0.02</v>
      </c>
      <c r="AM45" s="4">
        <v>0</v>
      </c>
      <c r="AN45" s="4">
        <v>0</v>
      </c>
      <c r="AO45" s="4">
        <v>0</v>
      </c>
      <c r="AQ45" s="3">
        <v>12</v>
      </c>
      <c r="AR45" s="3">
        <f>AK61</f>
        <v>0.38200000000000001</v>
      </c>
      <c r="AS45" s="3">
        <f>AK62</f>
        <v>1.8867962264113209E-2</v>
      </c>
    </row>
    <row r="46" spans="2:45">
      <c r="AC46" s="12"/>
      <c r="AD46" s="4">
        <v>0.02</v>
      </c>
      <c r="AE46" s="4">
        <v>0.02</v>
      </c>
      <c r="AF46" s="4"/>
      <c r="AG46" s="4"/>
      <c r="AH46" s="4"/>
      <c r="AJ46" s="12"/>
      <c r="AK46" s="4">
        <v>0</v>
      </c>
      <c r="AL46" s="4">
        <v>0</v>
      </c>
      <c r="AM46" s="4">
        <v>0.01</v>
      </c>
      <c r="AN46" s="4">
        <v>0.01</v>
      </c>
      <c r="AO46" s="4">
        <v>0</v>
      </c>
    </row>
    <row r="47" spans="2:45">
      <c r="AC47" s="1" t="s">
        <v>28</v>
      </c>
      <c r="AD47" s="11">
        <f>AVERAGE(AD45:AH46)</f>
        <v>0.02</v>
      </c>
      <c r="AE47" s="11"/>
      <c r="AF47" s="11"/>
      <c r="AG47" s="11"/>
      <c r="AH47" s="11"/>
      <c r="AJ47" s="1" t="s">
        <v>28</v>
      </c>
      <c r="AK47" s="11">
        <f>AVERAGE(AK45:AO46)</f>
        <v>6.0000000000000001E-3</v>
      </c>
      <c r="AL47" s="11"/>
      <c r="AM47" s="11"/>
      <c r="AN47" s="11"/>
      <c r="AO47" s="11"/>
      <c r="AQ47" s="10" t="s">
        <v>35</v>
      </c>
      <c r="AR47" s="10"/>
      <c r="AS47" s="10"/>
    </row>
    <row r="48" spans="2:45">
      <c r="AC48" s="1" t="s">
        <v>27</v>
      </c>
      <c r="AD48" s="11">
        <f>_xlfn.STDEV.P(AD45:AH46)</f>
        <v>6.3245553203367562E-3</v>
      </c>
      <c r="AE48" s="11"/>
      <c r="AF48" s="11"/>
      <c r="AG48" s="11"/>
      <c r="AH48" s="11"/>
      <c r="AJ48" s="1" t="s">
        <v>27</v>
      </c>
      <c r="AK48" s="11">
        <f>_xlfn.STDEV.P(AK45:AO46)</f>
        <v>8.0000000000000002E-3</v>
      </c>
      <c r="AL48" s="11"/>
      <c r="AM48" s="11"/>
      <c r="AN48" s="11"/>
      <c r="AO48" s="11"/>
      <c r="AQ48" s="1" t="s">
        <v>25</v>
      </c>
      <c r="AR48" s="1" t="s">
        <v>26</v>
      </c>
      <c r="AS48" s="1" t="s">
        <v>27</v>
      </c>
    </row>
    <row r="49" spans="29:45" ht="15">
      <c r="AC49" s="1" t="s">
        <v>29</v>
      </c>
      <c r="AD49" s="11">
        <v>0</v>
      </c>
      <c r="AE49" s="11"/>
      <c r="AF49" s="11"/>
      <c r="AG49" s="11"/>
      <c r="AH49" s="11"/>
      <c r="AJ49" s="1" t="s">
        <v>29</v>
      </c>
      <c r="AK49" s="11">
        <v>12</v>
      </c>
      <c r="AL49" s="11"/>
      <c r="AM49" s="11"/>
      <c r="AN49" s="11"/>
      <c r="AO49" s="11"/>
      <c r="AQ49" s="3">
        <v>0</v>
      </c>
      <c r="AR49" s="3">
        <f>AD68</f>
        <v>0.01</v>
      </c>
      <c r="AS49" s="3">
        <f>AD69</f>
        <v>0</v>
      </c>
    </row>
    <row r="50" spans="29:45">
      <c r="AQ50" s="3">
        <v>12</v>
      </c>
      <c r="AR50" s="3">
        <f>AK68</f>
        <v>1.7999999999999999E-2</v>
      </c>
      <c r="AS50" s="3">
        <f>AK69</f>
        <v>2.4000000000000004E-2</v>
      </c>
    </row>
    <row r="51" spans="29:45" ht="15">
      <c r="AC51" s="1" t="s">
        <v>15</v>
      </c>
      <c r="AD51" s="10" t="s">
        <v>20</v>
      </c>
      <c r="AE51" s="10"/>
      <c r="AF51" s="2" t="s">
        <v>21</v>
      </c>
      <c r="AG51" s="10" t="s">
        <v>23</v>
      </c>
      <c r="AH51" s="10"/>
      <c r="AJ51" s="1" t="s">
        <v>15</v>
      </c>
      <c r="AK51" s="10" t="s">
        <v>20</v>
      </c>
      <c r="AL51" s="10"/>
      <c r="AM51" s="2" t="s">
        <v>21</v>
      </c>
      <c r="AN51" s="10" t="s">
        <v>23</v>
      </c>
      <c r="AO51" s="10"/>
    </row>
    <row r="52" spans="29:45">
      <c r="AC52" s="12" t="s">
        <v>24</v>
      </c>
      <c r="AD52" s="4">
        <v>0</v>
      </c>
      <c r="AE52" s="4">
        <v>0</v>
      </c>
      <c r="AF52" s="4">
        <v>0.02</v>
      </c>
      <c r="AG52" s="4"/>
      <c r="AH52" s="4"/>
      <c r="AJ52" s="12" t="s">
        <v>24</v>
      </c>
      <c r="AK52" s="4">
        <v>0.72</v>
      </c>
      <c r="AL52" s="4">
        <v>0.69</v>
      </c>
      <c r="AM52" s="4">
        <v>0.65</v>
      </c>
      <c r="AN52" s="4">
        <v>0.65</v>
      </c>
      <c r="AO52" s="4">
        <v>0.66</v>
      </c>
    </row>
    <row r="53" spans="29:45">
      <c r="AC53" s="12"/>
      <c r="AD53" s="4">
        <v>0</v>
      </c>
      <c r="AE53" s="4">
        <v>0.01</v>
      </c>
      <c r="AF53" s="4"/>
      <c r="AG53" s="4"/>
      <c r="AH53" s="4"/>
      <c r="AJ53" s="12"/>
      <c r="AK53" s="4">
        <v>0.69</v>
      </c>
      <c r="AL53" s="4">
        <v>0.64</v>
      </c>
      <c r="AM53" s="4">
        <v>0.67</v>
      </c>
      <c r="AN53" s="4">
        <v>0.62</v>
      </c>
      <c r="AO53" s="4">
        <v>0.65</v>
      </c>
    </row>
    <row r="54" spans="29:45">
      <c r="AC54" s="1" t="s">
        <v>28</v>
      </c>
      <c r="AD54" s="11">
        <f>AVERAGE(AD52:AH53)</f>
        <v>6.0000000000000001E-3</v>
      </c>
      <c r="AE54" s="11"/>
      <c r="AF54" s="11"/>
      <c r="AG54" s="11"/>
      <c r="AH54" s="11"/>
      <c r="AJ54" s="1" t="s">
        <v>28</v>
      </c>
      <c r="AK54" s="11">
        <f>AVERAGE(AK52:AO53)</f>
        <v>0.66400000000000003</v>
      </c>
      <c r="AL54" s="11"/>
      <c r="AM54" s="11"/>
      <c r="AN54" s="11"/>
      <c r="AO54" s="11"/>
    </row>
    <row r="55" spans="29:45">
      <c r="AC55" s="1" t="s">
        <v>27</v>
      </c>
      <c r="AD55" s="11">
        <f>_xlfn.STDEV.P(AD52:AH53)</f>
        <v>8.0000000000000002E-3</v>
      </c>
      <c r="AE55" s="11"/>
      <c r="AF55" s="11"/>
      <c r="AG55" s="11"/>
      <c r="AH55" s="11"/>
      <c r="AJ55" s="1" t="s">
        <v>27</v>
      </c>
      <c r="AK55" s="11">
        <f>_xlfn.STDEV.P(AK52:AO53)</f>
        <v>2.7640549922170486E-2</v>
      </c>
      <c r="AL55" s="11"/>
      <c r="AM55" s="11"/>
      <c r="AN55" s="11"/>
      <c r="AO55" s="11"/>
    </row>
    <row r="56" spans="29:45" ht="15">
      <c r="AC56" s="1" t="s">
        <v>29</v>
      </c>
      <c r="AD56" s="11">
        <v>0</v>
      </c>
      <c r="AE56" s="11"/>
      <c r="AF56" s="11"/>
      <c r="AG56" s="11"/>
      <c r="AH56" s="11"/>
      <c r="AJ56" s="1" t="s">
        <v>29</v>
      </c>
      <c r="AK56" s="11">
        <v>12</v>
      </c>
      <c r="AL56" s="11"/>
      <c r="AM56" s="11"/>
      <c r="AN56" s="11"/>
      <c r="AO56" s="11"/>
    </row>
    <row r="58" spans="29:45" ht="15">
      <c r="AC58" s="1" t="s">
        <v>16</v>
      </c>
      <c r="AD58" s="10" t="s">
        <v>20</v>
      </c>
      <c r="AE58" s="10"/>
      <c r="AF58" s="2" t="s">
        <v>21</v>
      </c>
      <c r="AG58" s="10" t="s">
        <v>23</v>
      </c>
      <c r="AH58" s="10"/>
      <c r="AJ58" s="1" t="s">
        <v>16</v>
      </c>
      <c r="AK58" s="10" t="s">
        <v>20</v>
      </c>
      <c r="AL58" s="10"/>
      <c r="AM58" s="2" t="s">
        <v>21</v>
      </c>
      <c r="AN58" s="10" t="s">
        <v>23</v>
      </c>
      <c r="AO58" s="10"/>
    </row>
    <row r="59" spans="29:45">
      <c r="AC59" s="12" t="s">
        <v>24</v>
      </c>
      <c r="AD59" s="4">
        <v>0</v>
      </c>
      <c r="AE59" s="4">
        <v>0.04</v>
      </c>
      <c r="AF59" s="4">
        <v>0</v>
      </c>
      <c r="AG59" s="4"/>
      <c r="AH59" s="4"/>
      <c r="AJ59" s="12" t="s">
        <v>24</v>
      </c>
      <c r="AK59" s="4">
        <v>0.41</v>
      </c>
      <c r="AL59" s="4">
        <v>0.4</v>
      </c>
      <c r="AM59" s="4">
        <v>0.38</v>
      </c>
      <c r="AN59" s="4">
        <v>0.36</v>
      </c>
      <c r="AO59" s="4">
        <v>0.38</v>
      </c>
    </row>
    <row r="60" spans="29:45">
      <c r="AC60" s="12"/>
      <c r="AD60" s="4">
        <v>0.01</v>
      </c>
      <c r="AE60" s="4">
        <v>0</v>
      </c>
      <c r="AF60" s="4"/>
      <c r="AG60" s="4"/>
      <c r="AH60" s="4"/>
      <c r="AJ60" s="12"/>
      <c r="AK60" s="4">
        <v>0.36</v>
      </c>
      <c r="AL60" s="4">
        <v>0.39</v>
      </c>
      <c r="AM60" s="4">
        <v>0.41</v>
      </c>
      <c r="AN60" s="4">
        <v>0.37</v>
      </c>
      <c r="AO60" s="4">
        <v>0.36</v>
      </c>
    </row>
    <row r="61" spans="29:45">
      <c r="AC61" s="1" t="s">
        <v>28</v>
      </c>
      <c r="AD61" s="11">
        <f>AVERAGE(AD59:AH60)</f>
        <v>0.01</v>
      </c>
      <c r="AE61" s="11"/>
      <c r="AF61" s="11"/>
      <c r="AG61" s="11"/>
      <c r="AH61" s="11"/>
      <c r="AJ61" s="1" t="s">
        <v>28</v>
      </c>
      <c r="AK61" s="11">
        <f>AVERAGE(AK59:AO60)</f>
        <v>0.38200000000000001</v>
      </c>
      <c r="AL61" s="11"/>
      <c r="AM61" s="11"/>
      <c r="AN61" s="11"/>
      <c r="AO61" s="11"/>
    </row>
    <row r="62" spans="29:45">
      <c r="AC62" s="1" t="s">
        <v>27</v>
      </c>
      <c r="AD62" s="11">
        <f>_xlfn.STDEV.P(AD59:AH60)</f>
        <v>1.5491933384829668E-2</v>
      </c>
      <c r="AE62" s="11"/>
      <c r="AF62" s="11"/>
      <c r="AG62" s="11"/>
      <c r="AH62" s="11"/>
      <c r="AJ62" s="1" t="s">
        <v>27</v>
      </c>
      <c r="AK62" s="11">
        <f>_xlfn.STDEV.P(AK59:AO60)</f>
        <v>1.8867962264113209E-2</v>
      </c>
      <c r="AL62" s="11"/>
      <c r="AM62" s="11"/>
      <c r="AN62" s="11"/>
      <c r="AO62" s="11"/>
    </row>
    <row r="63" spans="29:45" ht="15">
      <c r="AC63" s="1" t="s">
        <v>29</v>
      </c>
      <c r="AD63" s="11">
        <v>0</v>
      </c>
      <c r="AE63" s="11"/>
      <c r="AF63" s="11"/>
      <c r="AG63" s="11"/>
      <c r="AH63" s="11"/>
      <c r="AJ63" s="1" t="s">
        <v>29</v>
      </c>
      <c r="AK63" s="11">
        <v>12</v>
      </c>
      <c r="AL63" s="11"/>
      <c r="AM63" s="11"/>
      <c r="AN63" s="11"/>
      <c r="AO63" s="11"/>
    </row>
    <row r="65" spans="29:41" ht="15">
      <c r="AC65" s="1" t="s">
        <v>17</v>
      </c>
      <c r="AD65" s="10" t="s">
        <v>20</v>
      </c>
      <c r="AE65" s="10"/>
      <c r="AF65" s="2" t="s">
        <v>21</v>
      </c>
      <c r="AG65" s="10" t="s">
        <v>23</v>
      </c>
      <c r="AH65" s="10"/>
      <c r="AJ65" s="1" t="s">
        <v>17</v>
      </c>
      <c r="AK65" s="10" t="s">
        <v>20</v>
      </c>
      <c r="AL65" s="10"/>
      <c r="AM65" s="2" t="s">
        <v>21</v>
      </c>
      <c r="AN65" s="10" t="s">
        <v>23</v>
      </c>
      <c r="AO65" s="10"/>
    </row>
    <row r="66" spans="29:41">
      <c r="AC66" s="12" t="s">
        <v>24</v>
      </c>
      <c r="AD66" s="4">
        <v>0.01</v>
      </c>
      <c r="AE66" s="4">
        <v>0.01</v>
      </c>
      <c r="AF66" s="4">
        <v>0.01</v>
      </c>
      <c r="AG66" s="4"/>
      <c r="AH66" s="4"/>
      <c r="AJ66" s="12" t="s">
        <v>24</v>
      </c>
      <c r="AK66" s="4">
        <v>0.01</v>
      </c>
      <c r="AL66" s="4">
        <v>0.04</v>
      </c>
      <c r="AM66" s="4">
        <v>0</v>
      </c>
      <c r="AN66" s="4">
        <v>0.01</v>
      </c>
      <c r="AO66" s="4">
        <v>0</v>
      </c>
    </row>
    <row r="67" spans="29:41">
      <c r="AC67" s="12"/>
      <c r="AD67" s="4">
        <v>0.01</v>
      </c>
      <c r="AE67" s="4">
        <v>0.01</v>
      </c>
      <c r="AF67" s="4"/>
      <c r="AG67" s="4"/>
      <c r="AH67" s="4"/>
      <c r="AJ67" s="12"/>
      <c r="AK67" s="4">
        <v>0</v>
      </c>
      <c r="AL67" s="4">
        <v>0.06</v>
      </c>
      <c r="AM67" s="4">
        <v>0</v>
      </c>
      <c r="AN67" s="4">
        <v>0.06</v>
      </c>
      <c r="AO67" s="4">
        <v>0</v>
      </c>
    </row>
    <row r="68" spans="29:41">
      <c r="AC68" s="1" t="s">
        <v>28</v>
      </c>
      <c r="AD68" s="11">
        <f>AVERAGE(AD66:AH67)</f>
        <v>0.01</v>
      </c>
      <c r="AE68" s="11"/>
      <c r="AF68" s="11"/>
      <c r="AG68" s="11"/>
      <c r="AH68" s="11"/>
      <c r="AJ68" s="1" t="s">
        <v>28</v>
      </c>
      <c r="AK68" s="11">
        <f>AVERAGE(AK66:AO67)</f>
        <v>1.7999999999999999E-2</v>
      </c>
      <c r="AL68" s="11"/>
      <c r="AM68" s="11"/>
      <c r="AN68" s="11"/>
      <c r="AO68" s="11"/>
    </row>
    <row r="69" spans="29:41">
      <c r="AC69" s="1" t="s">
        <v>27</v>
      </c>
      <c r="AD69" s="11">
        <f>_xlfn.STDEV.P(AD66:AH67)</f>
        <v>0</v>
      </c>
      <c r="AE69" s="11"/>
      <c r="AF69" s="11"/>
      <c r="AG69" s="11"/>
      <c r="AH69" s="11"/>
      <c r="AJ69" s="1" t="s">
        <v>27</v>
      </c>
      <c r="AK69" s="11">
        <f>_xlfn.STDEV.P(AK66:AO67)</f>
        <v>2.4000000000000004E-2</v>
      </c>
      <c r="AL69" s="11"/>
      <c r="AM69" s="11"/>
      <c r="AN69" s="11"/>
      <c r="AO69" s="11"/>
    </row>
    <row r="70" spans="29:41" ht="15">
      <c r="AC70" s="1" t="s">
        <v>29</v>
      </c>
      <c r="AD70" s="11">
        <v>0</v>
      </c>
      <c r="AE70" s="11"/>
      <c r="AF70" s="11"/>
      <c r="AG70" s="11"/>
      <c r="AH70" s="11"/>
      <c r="AJ70" s="1" t="s">
        <v>29</v>
      </c>
      <c r="AK70" s="11">
        <v>12</v>
      </c>
      <c r="AL70" s="11"/>
      <c r="AM70" s="11"/>
      <c r="AN70" s="11"/>
      <c r="AO70" s="11"/>
    </row>
  </sheetData>
  <mergeCells count="195">
    <mergeCell ref="AQ2:AS2"/>
    <mergeCell ref="AQ7:AS7"/>
    <mergeCell ref="AQ12:AS12"/>
    <mergeCell ref="AQ17:AS17"/>
    <mergeCell ref="AQ22:AS22"/>
    <mergeCell ref="AK69:AO69"/>
    <mergeCell ref="AK70:AO70"/>
    <mergeCell ref="AN58:AO58"/>
    <mergeCell ref="AJ59:AJ60"/>
    <mergeCell ref="AK61:AO61"/>
    <mergeCell ref="AK62:AO62"/>
    <mergeCell ref="AK63:AO63"/>
    <mergeCell ref="AQ27:AS27"/>
    <mergeCell ref="AQ32:AS32"/>
    <mergeCell ref="AQ37:AS37"/>
    <mergeCell ref="AQ42:AS42"/>
    <mergeCell ref="AQ47:AS47"/>
    <mergeCell ref="AK56:AO56"/>
    <mergeCell ref="AN44:AO44"/>
    <mergeCell ref="AJ45:AJ46"/>
    <mergeCell ref="AK47:AO47"/>
    <mergeCell ref="AK48:AO48"/>
    <mergeCell ref="AK49:AO49"/>
    <mergeCell ref="AN65:AO65"/>
    <mergeCell ref="AJ66:AJ67"/>
    <mergeCell ref="AK68:AO68"/>
    <mergeCell ref="AK42:AO42"/>
    <mergeCell ref="AC66:AC67"/>
    <mergeCell ref="AD68:AH68"/>
    <mergeCell ref="AD69:AH69"/>
    <mergeCell ref="AD70:AH70"/>
    <mergeCell ref="AK37:AL37"/>
    <mergeCell ref="AK44:AL44"/>
    <mergeCell ref="AK51:AL51"/>
    <mergeCell ref="AK58:AL58"/>
    <mergeCell ref="AK65:AL65"/>
    <mergeCell ref="AC59:AC60"/>
    <mergeCell ref="AD61:AH61"/>
    <mergeCell ref="AD62:AH62"/>
    <mergeCell ref="AD63:AH63"/>
    <mergeCell ref="AD65:AE65"/>
    <mergeCell ref="AG65:AH65"/>
    <mergeCell ref="AD54:AH54"/>
    <mergeCell ref="AD55:AH55"/>
    <mergeCell ref="AD56:AH56"/>
    <mergeCell ref="AD58:AE58"/>
    <mergeCell ref="AN51:AO51"/>
    <mergeCell ref="AJ52:AJ53"/>
    <mergeCell ref="AK54:AO54"/>
    <mergeCell ref="AK55:AO55"/>
    <mergeCell ref="AG58:AH58"/>
    <mergeCell ref="AD48:AH48"/>
    <mergeCell ref="AD49:AH49"/>
    <mergeCell ref="AD51:AE51"/>
    <mergeCell ref="AG51:AH51"/>
    <mergeCell ref="AC52:AC53"/>
    <mergeCell ref="AD42:AH42"/>
    <mergeCell ref="AD44:AE44"/>
    <mergeCell ref="AG44:AH44"/>
    <mergeCell ref="AC45:AC46"/>
    <mergeCell ref="AD47:AH47"/>
    <mergeCell ref="AD37:AE37"/>
    <mergeCell ref="AG37:AH37"/>
    <mergeCell ref="AC38:AC39"/>
    <mergeCell ref="AD40:AH40"/>
    <mergeCell ref="AD41:AH41"/>
    <mergeCell ref="AD33:AH33"/>
    <mergeCell ref="AK33:AO33"/>
    <mergeCell ref="AD34:AH34"/>
    <mergeCell ref="AK34:AO34"/>
    <mergeCell ref="AD35:AH35"/>
    <mergeCell ref="AK35:AO35"/>
    <mergeCell ref="AN37:AO37"/>
    <mergeCell ref="AJ38:AJ39"/>
    <mergeCell ref="AK40:AO40"/>
    <mergeCell ref="AK41:AO41"/>
    <mergeCell ref="AD30:AE30"/>
    <mergeCell ref="AG30:AH30"/>
    <mergeCell ref="AK30:AL30"/>
    <mergeCell ref="AN30:AO30"/>
    <mergeCell ref="AC31:AC32"/>
    <mergeCell ref="AJ31:AJ32"/>
    <mergeCell ref="AD26:AH26"/>
    <mergeCell ref="AK26:AO26"/>
    <mergeCell ref="AD27:AH27"/>
    <mergeCell ref="AK27:AO27"/>
    <mergeCell ref="AD28:AH28"/>
    <mergeCell ref="AK28:AO28"/>
    <mergeCell ref="AD23:AE23"/>
    <mergeCell ref="AG23:AH23"/>
    <mergeCell ref="AK23:AL23"/>
    <mergeCell ref="AN23:AO23"/>
    <mergeCell ref="AC24:AC25"/>
    <mergeCell ref="AJ24:AJ25"/>
    <mergeCell ref="AD19:AH19"/>
    <mergeCell ref="AK19:AO19"/>
    <mergeCell ref="AD20:AH20"/>
    <mergeCell ref="AK20:AO20"/>
    <mergeCell ref="AD21:AH21"/>
    <mergeCell ref="AK21:AO21"/>
    <mergeCell ref="AD16:AE16"/>
    <mergeCell ref="AG16:AH16"/>
    <mergeCell ref="AK16:AL16"/>
    <mergeCell ref="AN16:AO16"/>
    <mergeCell ref="AC17:AC18"/>
    <mergeCell ref="AJ17:AJ18"/>
    <mergeCell ref="AD12:AH12"/>
    <mergeCell ref="AK12:AO12"/>
    <mergeCell ref="AD13:AH13"/>
    <mergeCell ref="AK13:AO13"/>
    <mergeCell ref="AD14:AH14"/>
    <mergeCell ref="AK14:AO14"/>
    <mergeCell ref="AD9:AE9"/>
    <mergeCell ref="AG9:AH9"/>
    <mergeCell ref="AK9:AL9"/>
    <mergeCell ref="AN9:AO9"/>
    <mergeCell ref="AC10:AC11"/>
    <mergeCell ref="AJ10:AJ11"/>
    <mergeCell ref="AD5:AH5"/>
    <mergeCell ref="AK5:AO5"/>
    <mergeCell ref="AD6:AH6"/>
    <mergeCell ref="AK6:AO6"/>
    <mergeCell ref="AD7:AH7"/>
    <mergeCell ref="AK7:AO7"/>
    <mergeCell ref="AD2:AE2"/>
    <mergeCell ref="AG2:AH2"/>
    <mergeCell ref="AK2:AL2"/>
    <mergeCell ref="AN2:AO2"/>
    <mergeCell ref="AC3:AC4"/>
    <mergeCell ref="AJ3:AJ4"/>
    <mergeCell ref="C2:D2"/>
    <mergeCell ref="F2:G2"/>
    <mergeCell ref="B3:B4"/>
    <mergeCell ref="M2:N2"/>
    <mergeCell ref="I3:I4"/>
    <mergeCell ref="P2:R2"/>
    <mergeCell ref="C5:G5"/>
    <mergeCell ref="B10:B11"/>
    <mergeCell ref="F23:G23"/>
    <mergeCell ref="C7:G7"/>
    <mergeCell ref="C6:G6"/>
    <mergeCell ref="C9:D9"/>
    <mergeCell ref="F9:G9"/>
    <mergeCell ref="C12:G12"/>
    <mergeCell ref="C13:G13"/>
    <mergeCell ref="C14:G14"/>
    <mergeCell ref="C16:D16"/>
    <mergeCell ref="F16:G16"/>
    <mergeCell ref="J5:N5"/>
    <mergeCell ref="J6:N6"/>
    <mergeCell ref="J7:N7"/>
    <mergeCell ref="B31:B32"/>
    <mergeCell ref="C33:G33"/>
    <mergeCell ref="C34:G34"/>
    <mergeCell ref="C35:G35"/>
    <mergeCell ref="J2:K2"/>
    <mergeCell ref="B24:B25"/>
    <mergeCell ref="C26:G26"/>
    <mergeCell ref="C27:G27"/>
    <mergeCell ref="C28:G28"/>
    <mergeCell ref="C30:D30"/>
    <mergeCell ref="F30:G30"/>
    <mergeCell ref="B17:B18"/>
    <mergeCell ref="C19:G19"/>
    <mergeCell ref="C20:G20"/>
    <mergeCell ref="C21:G21"/>
    <mergeCell ref="C23:D23"/>
    <mergeCell ref="J21:N21"/>
    <mergeCell ref="J9:K9"/>
    <mergeCell ref="M9:N9"/>
    <mergeCell ref="I10:I11"/>
    <mergeCell ref="J12:N12"/>
    <mergeCell ref="J35:N35"/>
    <mergeCell ref="J23:K23"/>
    <mergeCell ref="M23:N23"/>
    <mergeCell ref="I24:I25"/>
    <mergeCell ref="J26:N26"/>
    <mergeCell ref="J27:N27"/>
    <mergeCell ref="J28:N28"/>
    <mergeCell ref="J30:K30"/>
    <mergeCell ref="M30:N30"/>
    <mergeCell ref="I31:I32"/>
    <mergeCell ref="J33:N33"/>
    <mergeCell ref="J34:N34"/>
    <mergeCell ref="P7:R7"/>
    <mergeCell ref="P12:R12"/>
    <mergeCell ref="P17:R17"/>
    <mergeCell ref="P22:R22"/>
    <mergeCell ref="J13:N13"/>
    <mergeCell ref="J14:N14"/>
    <mergeCell ref="J16:K16"/>
    <mergeCell ref="M16:N16"/>
    <mergeCell ref="I17:I18"/>
    <mergeCell ref="J19:N19"/>
    <mergeCell ref="J20:N2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D16F-AB4D-4EE4-A815-479D085F219B}">
  <dimension ref="B2:G21"/>
  <sheetViews>
    <sheetView tabSelected="1" workbookViewId="0">
      <selection activeCell="I11" sqref="I11"/>
    </sheetView>
  </sheetViews>
  <sheetFormatPr defaultRowHeight="15.75"/>
  <cols>
    <col min="2" max="2" width="26.85546875" bestFit="1" customWidth="1"/>
    <col min="5" max="5" width="10.5703125" customWidth="1"/>
    <col min="8" max="8" width="9.85546875" customWidth="1"/>
  </cols>
  <sheetData>
    <row r="2" spans="2:7">
      <c r="B2" t="s">
        <v>36</v>
      </c>
      <c r="C2" s="13" t="s">
        <v>37</v>
      </c>
      <c r="D2" s="13"/>
      <c r="E2" s="13"/>
      <c r="F2" s="13"/>
      <c r="G2" s="13"/>
    </row>
    <row r="3" spans="2:7">
      <c r="B3" s="5" t="s">
        <v>38</v>
      </c>
      <c r="C3" s="14" t="s">
        <v>2</v>
      </c>
      <c r="D3" s="14"/>
      <c r="E3" s="14"/>
      <c r="F3" s="14"/>
      <c r="G3" s="14"/>
    </row>
    <row r="4" spans="2:7">
      <c r="B4" s="15" t="s">
        <v>39</v>
      </c>
      <c r="C4" s="4">
        <v>1.9</v>
      </c>
      <c r="D4" s="4">
        <v>1.91</v>
      </c>
      <c r="E4" s="4">
        <v>1.9</v>
      </c>
      <c r="F4" s="4">
        <v>1.89</v>
      </c>
      <c r="G4" s="4">
        <v>1.9</v>
      </c>
    </row>
    <row r="5" spans="2:7">
      <c r="B5" s="15" t="s">
        <v>40</v>
      </c>
      <c r="C5" s="4">
        <v>1.82</v>
      </c>
      <c r="D5" s="4">
        <v>1.85</v>
      </c>
      <c r="E5" s="4">
        <v>1.83</v>
      </c>
      <c r="F5" s="4">
        <v>1.84</v>
      </c>
      <c r="G5" s="4">
        <v>1.84</v>
      </c>
    </row>
    <row r="6" spans="2:7">
      <c r="B6" s="15" t="s">
        <v>41</v>
      </c>
      <c r="C6" s="4">
        <v>1.77</v>
      </c>
      <c r="D6" s="4">
        <v>1.8</v>
      </c>
      <c r="E6" s="4">
        <v>1.78</v>
      </c>
      <c r="F6" s="4">
        <v>1.75</v>
      </c>
      <c r="G6" s="4">
        <v>1.76</v>
      </c>
    </row>
    <row r="7" spans="2:7">
      <c r="B7" s="15" t="s">
        <v>42</v>
      </c>
      <c r="C7" s="4">
        <v>1.1299999999999999</v>
      </c>
      <c r="D7" s="4">
        <v>1.1499999999999999</v>
      </c>
      <c r="E7" s="4">
        <v>1.1499999999999999</v>
      </c>
      <c r="F7" s="4">
        <v>1.17</v>
      </c>
      <c r="G7" s="4">
        <v>1.1200000000000001</v>
      </c>
    </row>
    <row r="8" spans="2:7">
      <c r="B8" s="15" t="s">
        <v>35</v>
      </c>
      <c r="C8" s="4">
        <v>0.01</v>
      </c>
      <c r="D8" s="4">
        <v>0.04</v>
      </c>
      <c r="E8" s="4">
        <v>0</v>
      </c>
      <c r="F8" s="4">
        <v>0.01</v>
      </c>
      <c r="G8" s="4">
        <v>0</v>
      </c>
    </row>
    <row r="10" spans="2:7">
      <c r="B10" s="5" t="s">
        <v>43</v>
      </c>
      <c r="C10" s="14" t="s">
        <v>2</v>
      </c>
      <c r="D10" s="14"/>
      <c r="E10" s="14"/>
      <c r="F10" s="14"/>
      <c r="G10" s="14"/>
    </row>
    <row r="11" spans="2:7">
      <c r="B11" s="15" t="s">
        <v>39</v>
      </c>
      <c r="C11" s="4">
        <v>1.9</v>
      </c>
      <c r="D11" s="4">
        <v>1.91</v>
      </c>
      <c r="E11" s="4">
        <v>1.9</v>
      </c>
      <c r="F11" s="4">
        <v>1.89</v>
      </c>
      <c r="G11" s="4">
        <v>1.9</v>
      </c>
    </row>
    <row r="12" spans="2:7">
      <c r="B12" s="15" t="s">
        <v>4</v>
      </c>
      <c r="C12" s="4">
        <v>0.03</v>
      </c>
      <c r="D12" s="4">
        <v>0.03</v>
      </c>
      <c r="E12" s="4">
        <v>0.03</v>
      </c>
      <c r="F12" s="4">
        <v>0.05</v>
      </c>
      <c r="G12" s="4">
        <v>0.04</v>
      </c>
    </row>
    <row r="13" spans="2:7">
      <c r="B13" s="15" t="s">
        <v>41</v>
      </c>
      <c r="C13" s="4">
        <v>0.01</v>
      </c>
      <c r="D13" s="4">
        <v>0</v>
      </c>
      <c r="E13" s="4">
        <v>0.05</v>
      </c>
      <c r="F13" s="4">
        <v>0</v>
      </c>
      <c r="G13" s="4">
        <v>0</v>
      </c>
    </row>
    <row r="14" spans="2:7">
      <c r="B14" s="15" t="s">
        <v>42</v>
      </c>
      <c r="C14" s="4">
        <v>0</v>
      </c>
      <c r="D14" s="4">
        <v>0</v>
      </c>
      <c r="E14" s="4">
        <v>0.01</v>
      </c>
      <c r="F14" s="4">
        <v>0.01</v>
      </c>
      <c r="G14" s="4">
        <v>0</v>
      </c>
    </row>
    <row r="15" spans="2:7">
      <c r="B15" s="15" t="s">
        <v>35</v>
      </c>
      <c r="C15" s="4">
        <v>0.01</v>
      </c>
      <c r="D15" s="4">
        <v>0.04</v>
      </c>
      <c r="E15" s="4">
        <v>0</v>
      </c>
      <c r="F15" s="4">
        <v>0.01</v>
      </c>
      <c r="G15" s="4">
        <v>0</v>
      </c>
    </row>
    <row r="17" spans="2:7">
      <c r="B17" s="5" t="s">
        <v>44</v>
      </c>
      <c r="C17" s="14" t="s">
        <v>2</v>
      </c>
      <c r="D17" s="14"/>
      <c r="E17" s="14"/>
      <c r="F17" s="14"/>
      <c r="G17" s="14"/>
    </row>
    <row r="18" spans="2:7">
      <c r="B18" s="15" t="s">
        <v>39</v>
      </c>
      <c r="C18" s="4">
        <v>1.9</v>
      </c>
      <c r="D18" s="4">
        <v>1.91</v>
      </c>
      <c r="E18" s="4">
        <v>1.9</v>
      </c>
      <c r="F18" s="4">
        <v>1.89</v>
      </c>
      <c r="G18" s="4">
        <v>1.9</v>
      </c>
    </row>
    <row r="19" spans="2:7">
      <c r="B19" s="15" t="s">
        <v>33</v>
      </c>
      <c r="C19" s="4">
        <v>0.69</v>
      </c>
      <c r="D19" s="4">
        <v>0.64</v>
      </c>
      <c r="E19" s="4">
        <v>0.67</v>
      </c>
      <c r="F19" s="4">
        <v>0.62</v>
      </c>
      <c r="G19" s="4">
        <v>0.65</v>
      </c>
    </row>
    <row r="20" spans="2:7">
      <c r="B20" s="15" t="s">
        <v>34</v>
      </c>
      <c r="C20" s="4">
        <v>0.36</v>
      </c>
      <c r="D20" s="4">
        <v>0.39</v>
      </c>
      <c r="E20" s="4">
        <v>0.41</v>
      </c>
      <c r="F20" s="4">
        <v>0.37</v>
      </c>
      <c r="G20" s="4">
        <v>0.36</v>
      </c>
    </row>
    <row r="21" spans="2:7">
      <c r="B21" s="15" t="s">
        <v>35</v>
      </c>
      <c r="C21" s="4">
        <v>0.01</v>
      </c>
      <c r="D21" s="4">
        <v>0.04</v>
      </c>
      <c r="E21" s="4">
        <v>0</v>
      </c>
      <c r="F21" s="4">
        <v>0.01</v>
      </c>
      <c r="G21" s="4">
        <v>0</v>
      </c>
    </row>
  </sheetData>
  <mergeCells count="4">
    <mergeCell ref="C2:G2"/>
    <mergeCell ref="C3:G3"/>
    <mergeCell ref="C10:G10"/>
    <mergeCell ref="C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黃 品喆</cp:lastModifiedBy>
  <cp:revision/>
  <dcterms:created xsi:type="dcterms:W3CDTF">2015-06-05T18:19:34Z</dcterms:created>
  <dcterms:modified xsi:type="dcterms:W3CDTF">2024-09-29T21:43:49Z</dcterms:modified>
  <cp:category/>
  <cp:contentStatus/>
</cp:coreProperties>
</file>